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Summary" sheetId="1" state="visible" r:id="rId1"/>
    <sheet xmlns:r="http://schemas.openxmlformats.org/officeDocument/2006/relationships" name="2_Village_Cadastre_Directory" sheetId="2" state="visible" r:id="rId2"/>
    <sheet xmlns:r="http://schemas.openxmlformats.org/officeDocument/2006/relationships" name="3_Topography_Elevation" sheetId="3" state="visible" r:id="rId3"/>
    <sheet xmlns:r="http://schemas.openxmlformats.org/officeDocument/2006/relationships" name="4_Slope_Terrain_Ruggedness" sheetId="4" state="visible" r:id="rId4"/>
    <sheet xmlns:r="http://schemas.openxmlformats.org/officeDocument/2006/relationships" name="5_Hydrology_Stream_Orders" sheetId="5" state="visible" r:id="rId5"/>
    <sheet xmlns:r="http://schemas.openxmlformats.org/officeDocument/2006/relationships" name="6_Pedology_Soil_Depth" sheetId="6" state="visible" r:id="rId6"/>
    <sheet xmlns:r="http://schemas.openxmlformats.org/officeDocument/2006/relationships" name="7_Soil_Texture_USDA" sheetId="7" state="visible" r:id="rId7"/>
    <sheet xmlns:r="http://schemas.openxmlformats.org/officeDocument/2006/relationships" name="8_Land_Use_Land_Cover" sheetId="8" state="visible" r:id="rId8"/>
    <sheet xmlns:r="http://schemas.openxmlformats.org/officeDocument/2006/relationships" name="9_Seasonal_NDVI_Dynamics" sheetId="9" state="visible" r:id="rId9"/>
    <sheet xmlns:r="http://schemas.openxmlformats.org/officeDocument/2006/relationships" name="10_Precipitation_Climatology" sheetId="10" state="visible" r:id="rId10"/>
    <sheet xmlns:r="http://schemas.openxmlformats.org/officeDocument/2006/relationships" name="11_Geomorphology_Landforms" sheetId="11" state="visible" r:id="rId11"/>
    <sheet xmlns:r="http://schemas.openxmlformats.org/officeDocument/2006/relationships" name="12_RGNDWM_Toposheet_Matrix" sheetId="12" state="visible" r:id="rId12"/>
    <sheet xmlns:r="http://schemas.openxmlformats.org/officeDocument/2006/relationships" name="13_Lithology_CGWB_Wells" sheetId="13" state="visible" r:id="rId13"/>
    <sheet xmlns:r="http://schemas.openxmlformats.org/officeDocument/2006/relationships" name="14_Recharge_Siting_Matri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.0;-#,##0.0;0.0"/>
    <numFmt numFmtId="166" formatCode="+0.00%;-0.00%;0.00%"/>
  </numFmts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color rgb="000F172A"/>
      <sz val="10"/>
    </font>
    <font>
      <name val="Times New Roman"/>
      <b val="1"/>
      <color rgb="001E1B4B"/>
      <sz val="10"/>
    </font>
  </fonts>
  <fills count="6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EF2F6"/>
        <bgColor rgb="00EEF2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1B4B"/>
      </top>
      <bottom style="double">
        <color rgb="001E1B4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0" fontId="2" fillId="4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left" vertical="center"/>
    </xf>
    <xf numFmtId="10" fontId="3" fillId="5" borderId="2" applyAlignment="1" pivotButton="0" quotePrefix="0" xfId="0">
      <alignment horizontal="right" vertical="center"/>
    </xf>
    <xf numFmtId="3" fontId="3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166" fontId="3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4" customWidth="1" min="2" max="2"/>
    <col width="27" customWidth="1" min="3" max="3"/>
    <col width="48" customWidth="1" min="4" max="4"/>
  </cols>
  <sheetData>
    <row r="1" ht="28" customHeight="1">
      <c r="A1" s="1" t="inlineStr">
        <is>
          <t>Parameter Description</t>
        </is>
      </c>
      <c r="B1" s="1" t="inlineStr">
        <is>
          <t>Lohara Block Metric</t>
        </is>
      </c>
      <c r="C1" s="1" t="inlineStr">
        <is>
          <t>Unit</t>
        </is>
      </c>
      <c r="D1" s="1" t="inlineStr">
        <is>
          <t>Source Authority</t>
        </is>
      </c>
    </row>
    <row r="2" ht="20" customHeight="1">
      <c r="A2" s="2" t="inlineStr">
        <is>
          <t>Administrative District</t>
        </is>
      </c>
      <c r="B2" s="2" t="inlineStr">
        <is>
          <t>Dharashiv (formerly Osmanabad)</t>
        </is>
      </c>
      <c r="C2" s="2" t="inlineStr">
        <is>
          <t>Revenue District</t>
        </is>
      </c>
      <c r="D2" s="2" t="inlineStr">
        <is>
          <t>Government of Maharashtra</t>
        </is>
      </c>
    </row>
    <row r="3" ht="20" customHeight="1">
      <c r="A3" s="3" t="inlineStr">
        <is>
          <t>Total Geographical Area</t>
        </is>
      </c>
      <c r="B3" s="4" t="n">
        <v>543.2</v>
      </c>
      <c r="C3" s="3" t="inlineStr">
        <is>
          <t>Square Kilometers (km²)</t>
        </is>
      </c>
      <c r="D3" s="3" t="inlineStr">
        <is>
          <t>Survey of India / MahaGIS Cadastre</t>
        </is>
      </c>
    </row>
    <row r="4" ht="20" customHeight="1">
      <c r="A4" s="2" t="inlineStr">
        <is>
          <t>Total Cadastral Area</t>
        </is>
      </c>
      <c r="B4" s="5" t="n">
        <v>54320.00000000001</v>
      </c>
      <c r="C4" s="2" t="inlineStr">
        <is>
          <t>Hectares (ha)</t>
        </is>
      </c>
      <c r="D4" s="2" t="inlineStr">
        <is>
          <t>Calculated GIS Footprint (UTM 43N)</t>
        </is>
      </c>
    </row>
    <row r="5" ht="20" customHeight="1">
      <c r="A5" s="3" t="inlineStr">
        <is>
          <t>Share of Dharashiv District Area</t>
        </is>
      </c>
      <c r="B5" s="6" t="n">
        <v>0.0726</v>
      </c>
      <c r="C5" s="3" t="inlineStr">
        <is>
          <t>% of District</t>
        </is>
      </c>
      <c r="D5" s="3" t="inlineStr">
        <is>
          <t>District Statistical Abstract</t>
        </is>
      </c>
    </row>
    <row r="6" ht="20" customHeight="1">
      <c r="A6" s="2" t="inlineStr">
        <is>
          <t>Total Mapped Gram Panchayats / Villages</t>
        </is>
      </c>
      <c r="B6" s="7" t="n">
        <v>47</v>
      </c>
      <c r="C6" s="2" t="inlineStr">
        <is>
          <t>Cadastral Village Units</t>
        </is>
      </c>
      <c r="D6" s="2" t="inlineStr">
        <is>
          <t>Census of India / MRSAC</t>
        </is>
      </c>
    </row>
    <row r="7" ht="20" customHeight="1">
      <c r="A7" s="3" t="inlineStr">
        <is>
          <t>Total Human Population (Census 2011)</t>
        </is>
      </c>
      <c r="B7" s="8" t="n">
        <v>116211</v>
      </c>
      <c r="C7" s="3" t="inlineStr">
        <is>
          <t>Persons</t>
        </is>
      </c>
      <c r="D7" s="3" t="inlineStr">
        <is>
          <t>Census of India</t>
        </is>
      </c>
    </row>
    <row r="8" ht="20" customHeight="1">
      <c r="A8" s="2" t="inlineStr">
        <is>
          <t>Elevation Range (Min – Max)</t>
        </is>
      </c>
      <c r="B8" s="2" t="inlineStr">
        <is>
          <t>514.8 – 669.2 m</t>
        </is>
      </c>
      <c r="C8" s="2" t="inlineStr">
        <is>
          <t>Meters a.s.l.</t>
        </is>
      </c>
      <c r="D8" s="2" t="inlineStr">
        <is>
          <t>Copernicus GLO-30 DEM (30m)</t>
        </is>
      </c>
    </row>
    <row r="9" ht="20" customHeight="1">
      <c r="A9" s="3" t="inlineStr">
        <is>
          <t>Mean Surface Elevation</t>
        </is>
      </c>
      <c r="B9" s="9" t="n">
        <v>617.2</v>
      </c>
      <c r="C9" s="3" t="inlineStr">
        <is>
          <t>Meters a.s.l.</t>
        </is>
      </c>
      <c r="D9" s="3" t="inlineStr">
        <is>
          <t>Copernicus DEM Zonal Mean</t>
        </is>
      </c>
    </row>
    <row r="10" ht="20" customHeight="1">
      <c r="A10" s="2" t="inlineStr">
        <is>
          <t>Mean Topographic Slope</t>
        </is>
      </c>
      <c r="B10" s="10" t="n">
        <v>1.42</v>
      </c>
      <c r="C10" s="2" t="inlineStr">
        <is>
          <t>Degrees (°)</t>
        </is>
      </c>
      <c r="D10" s="2" t="inlineStr">
        <is>
          <t>Calculated Surface Gradient</t>
        </is>
      </c>
    </row>
    <row r="11" ht="20" customHeight="1">
      <c r="A11" s="3" t="inlineStr">
        <is>
          <t>Primary Hydrological Drainage Basin</t>
        </is>
      </c>
      <c r="B11" s="3" t="inlineStr">
        <is>
          <t>Terna River Sub-basin (Manjra / Godavari Basin)</t>
        </is>
      </c>
      <c r="C11" s="3" t="inlineStr">
        <is>
          <t>River Sub-basin</t>
        </is>
      </c>
      <c r="D11" s="3" t="inlineStr">
        <is>
          <t>Central Water Commission (CWC)</t>
        </is>
      </c>
    </row>
    <row r="12" ht="20" customHeight="1">
      <c r="A12" s="2" t="inlineStr">
        <is>
          <t>Total Stream Network Length</t>
        </is>
      </c>
      <c r="B12" s="10" t="n">
        <v>582.98</v>
      </c>
      <c r="C12" s="2" t="inlineStr">
        <is>
          <t>Kilometers (km)</t>
        </is>
      </c>
      <c r="D12" s="2" t="inlineStr">
        <is>
          <t>Derived Strahler Stream Orders 1-5</t>
        </is>
      </c>
    </row>
    <row r="13" ht="20" customHeight="1">
      <c r="A13" s="3" t="inlineStr">
        <is>
          <t>Drainage Density (Dd)</t>
        </is>
      </c>
      <c r="B13" s="9" t="n">
        <v>1.07</v>
      </c>
      <c r="C13" s="3" t="inlineStr">
        <is>
          <t>km / km²</t>
        </is>
      </c>
      <c r="D13" s="3" t="inlineStr">
        <is>
          <t>Hydrological Drainage Density</t>
        </is>
      </c>
    </row>
    <row r="14" ht="20" customHeight="1">
      <c r="A14" s="2" t="inlineStr">
        <is>
          <t>34-Year Mean Annual Precipitation</t>
        </is>
      </c>
      <c r="B14" s="10" t="n">
        <v>786.1</v>
      </c>
      <c r="C14" s="2" t="inlineStr">
        <is>
          <t>Millimeters (mm / year)</t>
        </is>
      </c>
      <c r="D14" s="2" t="inlineStr">
        <is>
          <t>CHIRPS Climatological Reanalysis (1991–2024)</t>
        </is>
      </c>
    </row>
    <row r="15" ht="20" customHeight="1">
      <c r="A15" s="3" t="inlineStr">
        <is>
          <t>Monsoon Precipitation Contribution</t>
        </is>
      </c>
      <c r="B15" s="6" t="n">
        <v>0.828</v>
      </c>
      <c r="C15" s="3" t="inlineStr">
        <is>
          <t>% of Annual Total</t>
        </is>
      </c>
      <c r="D15" s="3" t="inlineStr">
        <is>
          <t>IMD South-West Monsoon (JJAS)</t>
        </is>
      </c>
    </row>
    <row r="16" ht="20" customHeight="1">
      <c r="A16" s="2" t="inlineStr">
        <is>
          <t>Predominant Soil Depth Class</t>
        </is>
      </c>
      <c r="B16" s="2" t="inlineStr">
        <is>
          <t>Very Shallow (57.7%) &amp; Shallow (33.3%)</t>
        </is>
      </c>
      <c r="C16" s="2" t="inlineStr">
        <is>
          <t>Depth Horizon</t>
        </is>
      </c>
      <c r="D16" s="2" t="inlineStr">
        <is>
          <t>NBSS &amp; LUP / ISRIC SoilGrids</t>
        </is>
      </c>
    </row>
    <row r="17" ht="20" customHeight="1">
      <c r="A17" s="3" t="inlineStr">
        <is>
          <t>Predominant USDA Soil Texture</t>
        </is>
      </c>
      <c r="B17" s="3" t="inlineStr">
        <is>
          <t>Clay (Deep Black Vertisols) | 92.4%</t>
        </is>
      </c>
      <c r="C17" s="3" t="inlineStr">
        <is>
          <t>USDA Texture</t>
        </is>
      </c>
      <c r="D17" s="3" t="inlineStr">
        <is>
          <t>OpenLandMap / USDA NRCS</t>
        </is>
      </c>
    </row>
    <row r="18" ht="20" customHeight="1">
      <c r="A18" s="2" t="inlineStr">
        <is>
          <t>Agricultural Cultivated Footprint</t>
        </is>
      </c>
      <c r="B18" s="11" t="n">
        <v>0.768</v>
      </c>
      <c r="C18" s="2" t="inlineStr">
        <is>
          <t>% Mapped Land Cover</t>
        </is>
      </c>
      <c r="D18" s="2" t="inlineStr">
        <is>
          <t>NRSC 1:250k Multi-temporal LULC</t>
        </is>
      </c>
    </row>
    <row r="19" ht="20" customHeight="1">
      <c r="A19" s="3" t="inlineStr">
        <is>
          <t>Current Agricultural Fallow Land</t>
        </is>
      </c>
      <c r="B19" s="9" t="n">
        <v>146.61</v>
      </c>
      <c r="C19" s="3" t="inlineStr">
        <is>
          <t>km²</t>
        </is>
      </c>
      <c r="D19" s="3" t="inlineStr">
        <is>
          <t>NRSC Multi-season Agricultural Dynamics</t>
        </is>
      </c>
    </row>
    <row r="20" ht="20" customHeight="1">
      <c r="A20" s="2" t="inlineStr">
        <is>
          <t>Total Classified Road Network</t>
        </is>
      </c>
      <c r="B20" s="10" t="n">
        <v>433.13</v>
      </c>
      <c r="C20" s="2" t="inlineStr">
        <is>
          <t>Kilometers (km)</t>
        </is>
      </c>
      <c r="D20" s="2" t="inlineStr">
        <is>
          <t>NH-52, State Highways &amp; ODRs (OSM)</t>
        </is>
      </c>
    </row>
    <row r="21" ht="20" customHeight="1">
      <c r="A21" s="3" t="inlineStr">
        <is>
          <t>Major Geological Lithology</t>
        </is>
      </c>
      <c r="B21" s="3" t="inlineStr">
        <is>
          <t>Deccan Basalt (Pahoehoe &amp; 'Aa' Flows)</t>
        </is>
      </c>
      <c r="C21" s="3" t="inlineStr">
        <is>
          <t>Stratigraphic Unit</t>
        </is>
      </c>
      <c r="D21" s="3" t="inlineStr">
        <is>
          <t>Geological Survey of India (GSI)</t>
        </is>
      </c>
    </row>
    <row r="22" ht="20" customHeight="1">
      <c r="A22" s="2" t="inlineStr">
        <is>
          <t>RGNDWM 1° × 1° Quadrangle Framework</t>
        </is>
      </c>
      <c r="B22" s="2" t="inlineStr">
        <is>
          <t>56C (67.1%), 56B (32.9%)</t>
        </is>
      </c>
      <c r="C22" s="2" t="inlineStr">
        <is>
          <t>Quadrangle Index</t>
        </is>
      </c>
      <c r="D22" s="2" t="inlineStr">
        <is>
          <t>NRSC / ISRO Drinking Water Mission</t>
        </is>
      </c>
    </row>
    <row r="23" ht="20" customHeight="1">
      <c r="A23" s="3" t="inlineStr">
        <is>
          <t>Survey of India 1:50,000 Toposheets</t>
        </is>
      </c>
      <c r="B23" s="3" t="inlineStr">
        <is>
          <t>5 Toposheets (56C/2, 56B/14, 56C/6, 56B/15, 56C/3)</t>
        </is>
      </c>
      <c r="C23" s="3" t="inlineStr">
        <is>
          <t>1:50k Topo Grid</t>
        </is>
      </c>
      <c r="D23" s="3" t="inlineStr">
        <is>
          <t>Survey of India Topo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9" customWidth="1" min="4" max="4"/>
    <col width="16" customWidth="1" min="5" max="5"/>
    <col width="25" customWidth="1" min="6" max="6"/>
  </cols>
  <sheetData>
    <row r="1" ht="28" customHeight="1">
      <c r="A1" s="1" t="inlineStr">
        <is>
          <t>S.No</t>
        </is>
      </c>
      <c r="B1" s="1" t="inlineStr">
        <is>
          <t>Taluka / Block</t>
        </is>
      </c>
      <c r="C1" s="1" t="inlineStr">
        <is>
          <t>Cadastral Village Name</t>
        </is>
      </c>
      <c r="D1" s="1" t="inlineStr">
        <is>
          <t>Area (Hectares)</t>
        </is>
      </c>
      <c r="E1" s="1" t="inlineStr">
        <is>
          <t>Area (km²)</t>
        </is>
      </c>
      <c r="F1" s="1" t="inlineStr">
        <is>
          <t>Share of Lohara (%)</t>
        </is>
      </c>
    </row>
    <row r="2" ht="20" customHeight="1">
      <c r="A2" s="10" t="n">
        <v>1</v>
      </c>
      <c r="B2" s="2" t="inlineStr">
        <is>
          <t>Lohara</t>
        </is>
      </c>
      <c r="C2" s="2" t="inlineStr">
        <is>
          <t>Achaler</t>
        </is>
      </c>
      <c r="D2" s="5" t="n">
        <v>3477.8</v>
      </c>
      <c r="E2" s="12" t="n">
        <v>34.78</v>
      </c>
      <c r="F2" s="11" t="n">
        <v>0.06402798232695139</v>
      </c>
    </row>
    <row r="3" ht="20" customHeight="1">
      <c r="A3" s="9" t="n">
        <v>2</v>
      </c>
      <c r="B3" s="3" t="inlineStr">
        <is>
          <t>Lohara</t>
        </is>
      </c>
      <c r="C3" s="3" t="inlineStr">
        <is>
          <t>Arni</t>
        </is>
      </c>
      <c r="D3" s="13" t="n">
        <v>791.9</v>
      </c>
      <c r="E3" s="4" t="n">
        <v>7.92</v>
      </c>
      <c r="F3" s="6" t="n">
        <v>0.01458026509572901</v>
      </c>
    </row>
    <row r="4" ht="20" customHeight="1">
      <c r="A4" s="10" t="n">
        <v>3</v>
      </c>
      <c r="B4" s="2" t="inlineStr">
        <is>
          <t>Lohara</t>
        </is>
      </c>
      <c r="C4" s="2" t="inlineStr">
        <is>
          <t>Ashta kasar</t>
        </is>
      </c>
      <c r="D4" s="5" t="n">
        <v>2196.4</v>
      </c>
      <c r="E4" s="12" t="n">
        <v>21.96</v>
      </c>
      <c r="F4" s="11" t="n">
        <v>0.04042709867452135</v>
      </c>
    </row>
    <row r="5" ht="20" customHeight="1">
      <c r="A5" s="9" t="n">
        <v>4</v>
      </c>
      <c r="B5" s="3" t="inlineStr">
        <is>
          <t>Lohara</t>
        </is>
      </c>
      <c r="C5" s="3" t="inlineStr">
        <is>
          <t>Belwadi</t>
        </is>
      </c>
      <c r="D5" s="13" t="n">
        <v>1159.8</v>
      </c>
      <c r="E5" s="4" t="n">
        <v>11.6</v>
      </c>
      <c r="F5" s="6" t="n">
        <v>0.02135493372606774</v>
      </c>
    </row>
    <row r="6" ht="20" customHeight="1">
      <c r="A6" s="10" t="n">
        <v>5</v>
      </c>
      <c r="B6" s="2" t="inlineStr">
        <is>
          <t>Lohara</t>
        </is>
      </c>
      <c r="C6" s="2" t="inlineStr">
        <is>
          <t>Bendkal</t>
        </is>
      </c>
      <c r="D6" s="5" t="n">
        <v>466.7</v>
      </c>
      <c r="E6" s="12" t="n">
        <v>4.67</v>
      </c>
      <c r="F6" s="11" t="n">
        <v>0.008597201767304859</v>
      </c>
    </row>
    <row r="7" ht="20" customHeight="1">
      <c r="A7" s="9" t="n">
        <v>6</v>
      </c>
      <c r="B7" s="3" t="inlineStr">
        <is>
          <t>Lohara</t>
        </is>
      </c>
      <c r="C7" s="3" t="inlineStr">
        <is>
          <t>Bhatangali</t>
        </is>
      </c>
      <c r="D7" s="13" t="n">
        <v>1443.8</v>
      </c>
      <c r="E7" s="4" t="n">
        <v>14.44</v>
      </c>
      <c r="F7" s="6" t="n">
        <v>0.02658321060382916</v>
      </c>
    </row>
    <row r="8" ht="20" customHeight="1">
      <c r="A8" s="10" t="n">
        <v>7</v>
      </c>
      <c r="B8" s="2" t="inlineStr">
        <is>
          <t>Lohara</t>
        </is>
      </c>
      <c r="C8" s="2" t="inlineStr">
        <is>
          <t>Bhosga</t>
        </is>
      </c>
      <c r="D8" s="5" t="n">
        <v>916.7</v>
      </c>
      <c r="E8" s="12" t="n">
        <v>9.17</v>
      </c>
      <c r="F8" s="11" t="n">
        <v>0.01688144329896907</v>
      </c>
    </row>
    <row r="9" ht="20" customHeight="1">
      <c r="A9" s="9" t="n">
        <v>8</v>
      </c>
      <c r="B9" s="3" t="inlineStr">
        <is>
          <t>Lohara</t>
        </is>
      </c>
      <c r="C9" s="3" t="inlineStr">
        <is>
          <t>Chincholi kate</t>
        </is>
      </c>
      <c r="D9" s="13" t="n">
        <v>326.5</v>
      </c>
      <c r="E9" s="4" t="n">
        <v>3.26</v>
      </c>
      <c r="F9" s="6" t="n">
        <v>0.006001472754050073</v>
      </c>
    </row>
    <row r="10" ht="20" customHeight="1">
      <c r="A10" s="10" t="n">
        <v>9</v>
      </c>
      <c r="B10" s="2" t="inlineStr">
        <is>
          <t>Lohara</t>
        </is>
      </c>
      <c r="C10" s="2" t="inlineStr">
        <is>
          <t>Chincholi rebe</t>
        </is>
      </c>
      <c r="D10" s="5" t="n">
        <v>478.5</v>
      </c>
      <c r="E10" s="12" t="n">
        <v>4.79</v>
      </c>
      <c r="F10" s="11" t="n">
        <v>0.008818114874815906</v>
      </c>
    </row>
    <row r="11" ht="20" customHeight="1">
      <c r="A11" s="9" t="n">
        <v>10</v>
      </c>
      <c r="B11" s="3" t="inlineStr">
        <is>
          <t>Lohara</t>
        </is>
      </c>
      <c r="C11" s="3" t="inlineStr">
        <is>
          <t>Dastapur</t>
        </is>
      </c>
      <c r="D11" s="13" t="n">
        <v>553.5</v>
      </c>
      <c r="E11" s="4" t="n">
        <v>5.54</v>
      </c>
      <c r="F11" s="6" t="n">
        <v>0.01019882179675994</v>
      </c>
    </row>
    <row r="12" ht="20" customHeight="1">
      <c r="A12" s="10" t="n">
        <v>11</v>
      </c>
      <c r="B12" s="2" t="inlineStr">
        <is>
          <t>Lohara</t>
        </is>
      </c>
      <c r="C12" s="2" t="inlineStr">
        <is>
          <t>Dhanori</t>
        </is>
      </c>
      <c r="D12" s="5" t="n">
        <v>2815.2</v>
      </c>
      <c r="E12" s="12" t="n">
        <v>28.15</v>
      </c>
      <c r="F12" s="11" t="n">
        <v>0.05182253313696612</v>
      </c>
    </row>
    <row r="13" ht="20" customHeight="1">
      <c r="A13" s="9" t="n">
        <v>12</v>
      </c>
      <c r="B13" s="3" t="inlineStr">
        <is>
          <t>Lohara</t>
        </is>
      </c>
      <c r="C13" s="3" t="inlineStr">
        <is>
          <t>Ekondi lohara</t>
        </is>
      </c>
      <c r="D13" s="13" t="n">
        <v>568</v>
      </c>
      <c r="E13" s="4" t="n">
        <v>5.68</v>
      </c>
      <c r="F13" s="6" t="n">
        <v>0.01045655375552283</v>
      </c>
    </row>
    <row r="14" ht="20" customHeight="1">
      <c r="A14" s="10" t="n">
        <v>13</v>
      </c>
      <c r="B14" s="2" t="inlineStr">
        <is>
          <t>Lohara</t>
        </is>
      </c>
      <c r="C14" s="2" t="inlineStr">
        <is>
          <t>Harali</t>
        </is>
      </c>
      <c r="D14" s="5" t="n">
        <v>646.4</v>
      </c>
      <c r="E14" s="12" t="n">
        <v>6.46</v>
      </c>
      <c r="F14" s="11" t="n">
        <v>0.01189248895434462</v>
      </c>
    </row>
    <row r="15" ht="20" customHeight="1">
      <c r="A15" s="9" t="n">
        <v>14</v>
      </c>
      <c r="B15" s="3" t="inlineStr">
        <is>
          <t>Lohara</t>
        </is>
      </c>
      <c r="C15" s="3" t="inlineStr">
        <is>
          <t>Hipparga sayyad</t>
        </is>
      </c>
      <c r="D15" s="13" t="n">
        <v>993</v>
      </c>
      <c r="E15" s="4" t="n">
        <v>9.93</v>
      </c>
      <c r="F15" s="6" t="n">
        <v>0.01828055964653903</v>
      </c>
    </row>
    <row r="16" ht="20" customHeight="1">
      <c r="A16" s="10" t="n">
        <v>15</v>
      </c>
      <c r="B16" s="2" t="inlineStr">
        <is>
          <t>Lohara</t>
        </is>
      </c>
      <c r="C16" s="2" t="inlineStr">
        <is>
          <t>Hippargarava</t>
        </is>
      </c>
      <c r="D16" s="5" t="n">
        <v>1832.3</v>
      </c>
      <c r="E16" s="12" t="n">
        <v>18.32</v>
      </c>
      <c r="F16" s="11" t="n">
        <v>0.0337260677466863</v>
      </c>
    </row>
    <row r="17" ht="20" customHeight="1">
      <c r="A17" s="9" t="n">
        <v>16</v>
      </c>
      <c r="B17" s="3" t="inlineStr">
        <is>
          <t>Lohara</t>
        </is>
      </c>
      <c r="C17" s="3" t="inlineStr">
        <is>
          <t>Holi</t>
        </is>
      </c>
      <c r="D17" s="13" t="n">
        <v>1467.6</v>
      </c>
      <c r="E17" s="4" t="n">
        <v>14.68</v>
      </c>
      <c r="F17" s="6" t="n">
        <v>0.02702503681885125</v>
      </c>
    </row>
    <row r="18" ht="20" customHeight="1">
      <c r="A18" s="10" t="n">
        <v>17</v>
      </c>
      <c r="B18" s="2" t="inlineStr">
        <is>
          <t>Lohara</t>
        </is>
      </c>
      <c r="C18" s="2" t="inlineStr">
        <is>
          <t>Jewali</t>
        </is>
      </c>
      <c r="D18" s="5" t="n">
        <v>3098.7</v>
      </c>
      <c r="E18" s="12" t="n">
        <v>30.99</v>
      </c>
      <c r="F18" s="11" t="n">
        <v>0.05705081001472753</v>
      </c>
    </row>
    <row r="19" ht="20" customHeight="1">
      <c r="A19" s="9" t="n">
        <v>18</v>
      </c>
      <c r="B19" s="3" t="inlineStr">
        <is>
          <t>Lohara</t>
        </is>
      </c>
      <c r="C19" s="3" t="inlineStr">
        <is>
          <t>Kamalpur</t>
        </is>
      </c>
      <c r="D19" s="13" t="n">
        <v>418.8</v>
      </c>
      <c r="E19" s="4" t="n">
        <v>4.19</v>
      </c>
      <c r="F19" s="6" t="n">
        <v>0.007713549337260678</v>
      </c>
    </row>
    <row r="20" ht="20" customHeight="1">
      <c r="A20" s="10" t="n">
        <v>19</v>
      </c>
      <c r="B20" s="2" t="inlineStr">
        <is>
          <t>Lohara</t>
        </is>
      </c>
      <c r="C20" s="2" t="inlineStr">
        <is>
          <t>Kanegaon</t>
        </is>
      </c>
      <c r="D20" s="5" t="n">
        <v>2661.9</v>
      </c>
      <c r="E20" s="12" t="n">
        <v>26.62</v>
      </c>
      <c r="F20" s="11" t="n">
        <v>0.04900589101620029</v>
      </c>
    </row>
    <row r="21" ht="20" customHeight="1">
      <c r="A21" s="9" t="n">
        <v>20</v>
      </c>
      <c r="B21" s="3" t="inlineStr">
        <is>
          <t>Lohara</t>
        </is>
      </c>
      <c r="C21" s="3" t="inlineStr">
        <is>
          <t>Karanjgaon</t>
        </is>
      </c>
      <c r="D21" s="13" t="n">
        <v>737.5</v>
      </c>
      <c r="E21" s="4" t="n">
        <v>7.37</v>
      </c>
      <c r="F21" s="6" t="n">
        <v>0.01356774668630339</v>
      </c>
    </row>
    <row r="22" ht="20" customHeight="1">
      <c r="A22" s="10" t="n">
        <v>21</v>
      </c>
      <c r="B22" s="2" t="inlineStr">
        <is>
          <t>Lohara</t>
        </is>
      </c>
      <c r="C22" s="2" t="inlineStr">
        <is>
          <t>Karwanji</t>
        </is>
      </c>
      <c r="D22" s="5" t="n">
        <v>587.6</v>
      </c>
      <c r="E22" s="12" t="n">
        <v>5.88</v>
      </c>
      <c r="F22" s="11" t="n">
        <v>0.01082474226804124</v>
      </c>
    </row>
    <row r="23" ht="20" customHeight="1">
      <c r="A23" s="9" t="n">
        <v>22</v>
      </c>
      <c r="B23" s="3" t="inlineStr">
        <is>
          <t>Lohara</t>
        </is>
      </c>
      <c r="C23" s="3" t="inlineStr">
        <is>
          <t>Kasti Bk.</t>
        </is>
      </c>
      <c r="D23" s="13" t="n">
        <v>1034.4</v>
      </c>
      <c r="E23" s="4" t="n">
        <v>10.34</v>
      </c>
      <c r="F23" s="6" t="n">
        <v>0.01903534609720177</v>
      </c>
    </row>
    <row r="24" ht="20" customHeight="1">
      <c r="A24" s="10" t="n">
        <v>23</v>
      </c>
      <c r="B24" s="2" t="inlineStr">
        <is>
          <t>Lohara</t>
        </is>
      </c>
      <c r="C24" s="2" t="inlineStr">
        <is>
          <t>Kasti Kh.</t>
        </is>
      </c>
      <c r="D24" s="5" t="n">
        <v>948.5</v>
      </c>
      <c r="E24" s="12" t="n">
        <v>9.48</v>
      </c>
      <c r="F24" s="11" t="n">
        <v>0.01745213549337261</v>
      </c>
    </row>
    <row r="25" ht="20" customHeight="1">
      <c r="A25" s="9" t="n">
        <v>24</v>
      </c>
      <c r="B25" s="3" t="inlineStr">
        <is>
          <t>Lohara</t>
        </is>
      </c>
      <c r="C25" s="3" t="inlineStr">
        <is>
          <t>Khed</t>
        </is>
      </c>
      <c r="D25" s="13" t="n">
        <v>1400</v>
      </c>
      <c r="E25" s="4" t="n">
        <v>14</v>
      </c>
      <c r="F25" s="6" t="n">
        <v>0.02577319587628866</v>
      </c>
    </row>
    <row r="26" ht="20" customHeight="1">
      <c r="A26" s="10" t="n">
        <v>25</v>
      </c>
      <c r="B26" s="2" t="inlineStr">
        <is>
          <t>Lohara</t>
        </is>
      </c>
      <c r="C26" s="2" t="inlineStr">
        <is>
          <t>Kolnur pandari</t>
        </is>
      </c>
      <c r="D26" s="5" t="n">
        <v>397</v>
      </c>
      <c r="E26" s="12" t="n">
        <v>3.97</v>
      </c>
      <c r="F26" s="11" t="n">
        <v>0.007308541973490427</v>
      </c>
    </row>
    <row r="27" ht="20" customHeight="1">
      <c r="A27" s="9" t="n">
        <v>26</v>
      </c>
      <c r="B27" s="3" t="inlineStr">
        <is>
          <t>Lohara</t>
        </is>
      </c>
      <c r="C27" s="3" t="inlineStr">
        <is>
          <t>Kondjigad</t>
        </is>
      </c>
      <c r="D27" s="13" t="n">
        <v>743</v>
      </c>
      <c r="E27" s="4" t="n">
        <v>7.43</v>
      </c>
      <c r="F27" s="6" t="n">
        <v>0.01367820324005891</v>
      </c>
    </row>
    <row r="28" ht="20" customHeight="1">
      <c r="A28" s="10" t="n">
        <v>27</v>
      </c>
      <c r="B28" s="2" t="inlineStr">
        <is>
          <t>Lohara</t>
        </is>
      </c>
      <c r="C28" s="2" t="inlineStr">
        <is>
          <t>Lohara Bk.</t>
        </is>
      </c>
      <c r="D28" s="5" t="n">
        <v>1765.1</v>
      </c>
      <c r="E28" s="12" t="n">
        <v>17.65</v>
      </c>
      <c r="F28" s="11" t="n">
        <v>0.03249263622974963</v>
      </c>
    </row>
    <row r="29" ht="20" customHeight="1">
      <c r="A29" s="9" t="n">
        <v>28</v>
      </c>
      <c r="B29" s="3" t="inlineStr">
        <is>
          <t>Lohara</t>
        </is>
      </c>
      <c r="C29" s="3" t="inlineStr">
        <is>
          <t>Lohara Kh.</t>
        </is>
      </c>
      <c r="D29" s="13" t="n">
        <v>1131.3</v>
      </c>
      <c r="E29" s="4" t="n">
        <v>11.31</v>
      </c>
      <c r="F29" s="6" t="n">
        <v>0.02082106038291605</v>
      </c>
    </row>
    <row r="30" ht="20" customHeight="1">
      <c r="A30" s="10" t="n">
        <v>29</v>
      </c>
      <c r="B30" s="2" t="inlineStr">
        <is>
          <t>Lohara</t>
        </is>
      </c>
      <c r="C30" s="2" t="inlineStr">
        <is>
          <t>Makani</t>
        </is>
      </c>
      <c r="D30" s="5" t="n">
        <v>2104.6</v>
      </c>
      <c r="E30" s="12" t="n">
        <v>21.05</v>
      </c>
      <c r="F30" s="11" t="n">
        <v>0.03875184094256259</v>
      </c>
    </row>
    <row r="31" ht="20" customHeight="1">
      <c r="A31" s="9" t="n">
        <v>30</v>
      </c>
      <c r="B31" s="3" t="inlineStr">
        <is>
          <t>Lohara</t>
        </is>
      </c>
      <c r="C31" s="3" t="inlineStr">
        <is>
          <t>Malegaon</t>
        </is>
      </c>
      <c r="D31" s="13" t="n">
        <v>753.5</v>
      </c>
      <c r="E31" s="4" t="n">
        <v>7.53</v>
      </c>
      <c r="F31" s="6" t="n">
        <v>0.01386229749631811</v>
      </c>
    </row>
    <row r="32" ht="20" customHeight="1">
      <c r="A32" s="10" t="n">
        <v>31</v>
      </c>
      <c r="B32" s="2" t="inlineStr">
        <is>
          <t>Lohara</t>
        </is>
      </c>
      <c r="C32" s="2" t="inlineStr">
        <is>
          <t>Mardi</t>
        </is>
      </c>
      <c r="D32" s="5" t="n">
        <v>1164</v>
      </c>
      <c r="E32" s="12" t="n">
        <v>11.64</v>
      </c>
      <c r="F32" s="11" t="n">
        <v>0.02142857142857143</v>
      </c>
    </row>
    <row r="33" ht="20" customHeight="1">
      <c r="A33" s="9" t="n">
        <v>32</v>
      </c>
      <c r="B33" s="3" t="inlineStr">
        <is>
          <t>Lohara</t>
        </is>
      </c>
      <c r="C33" s="3" t="inlineStr">
        <is>
          <t>Mogha bk.</t>
        </is>
      </c>
      <c r="D33" s="13" t="n">
        <v>636</v>
      </c>
      <c r="E33" s="4" t="n">
        <v>6.36</v>
      </c>
      <c r="F33" s="6" t="n">
        <v>0.01170839469808542</v>
      </c>
    </row>
    <row r="34" ht="20" customHeight="1">
      <c r="A34" s="10" t="n">
        <v>33</v>
      </c>
      <c r="B34" s="2" t="inlineStr">
        <is>
          <t>Lohara</t>
        </is>
      </c>
      <c r="C34" s="2" t="inlineStr">
        <is>
          <t>Mogha kh</t>
        </is>
      </c>
      <c r="D34" s="5" t="n">
        <v>763.5</v>
      </c>
      <c r="E34" s="12" t="n">
        <v>7.63</v>
      </c>
      <c r="F34" s="11" t="n">
        <v>0.01404639175257732</v>
      </c>
    </row>
    <row r="35" ht="20" customHeight="1">
      <c r="A35" s="9" t="n">
        <v>34</v>
      </c>
      <c r="B35" s="3" t="inlineStr">
        <is>
          <t>Lohara</t>
        </is>
      </c>
      <c r="C35" s="3" t="inlineStr">
        <is>
          <t>Murshadpur</t>
        </is>
      </c>
      <c r="D35" s="13" t="n">
        <v>785.5</v>
      </c>
      <c r="E35" s="4" t="n">
        <v>7.86</v>
      </c>
      <c r="F35" s="6" t="n">
        <v>0.01446980854197349</v>
      </c>
    </row>
    <row r="36" ht="20" customHeight="1">
      <c r="A36" s="10" t="n">
        <v>35</v>
      </c>
      <c r="B36" s="2" t="inlineStr">
        <is>
          <t>Lohara</t>
        </is>
      </c>
      <c r="C36" s="2" t="inlineStr">
        <is>
          <t xml:space="preserve">Nagral </t>
        </is>
      </c>
      <c r="D36" s="5" t="n">
        <v>504.1</v>
      </c>
      <c r="E36" s="12" t="n">
        <v>5.04</v>
      </c>
      <c r="F36" s="11" t="n">
        <v>0.009278350515463918</v>
      </c>
    </row>
    <row r="37" ht="20" customHeight="1">
      <c r="A37" s="9" t="n">
        <v>36</v>
      </c>
      <c r="B37" s="3" t="inlineStr">
        <is>
          <t>Lohara</t>
        </is>
      </c>
      <c r="C37" s="3" t="inlineStr">
        <is>
          <t>Nagur</t>
        </is>
      </c>
      <c r="D37" s="13" t="n">
        <v>1032.2</v>
      </c>
      <c r="E37" s="4" t="n">
        <v>10.32</v>
      </c>
      <c r="F37" s="6" t="n">
        <v>0.01899852724594992</v>
      </c>
    </row>
    <row r="38" ht="20" customHeight="1">
      <c r="A38" s="10" t="n">
        <v>37</v>
      </c>
      <c r="B38" s="2" t="inlineStr">
        <is>
          <t>Lohara</t>
        </is>
      </c>
      <c r="C38" s="2" t="inlineStr">
        <is>
          <t>Phanepur</t>
        </is>
      </c>
      <c r="D38" s="5" t="n">
        <v>666.9</v>
      </c>
      <c r="E38" s="12" t="n">
        <v>6.67</v>
      </c>
      <c r="F38" s="11" t="n">
        <v>0.01227908689248895</v>
      </c>
    </row>
    <row r="39" ht="20" customHeight="1">
      <c r="A39" s="9" t="n">
        <v>38</v>
      </c>
      <c r="B39" s="3" t="inlineStr">
        <is>
          <t>Lohara</t>
        </is>
      </c>
      <c r="C39" s="3" t="inlineStr">
        <is>
          <t>Rajegaon</t>
        </is>
      </c>
      <c r="D39" s="13" t="n">
        <v>460</v>
      </c>
      <c r="E39" s="4" t="n">
        <v>4.6</v>
      </c>
      <c r="F39" s="6" t="n">
        <v>0.008468335787923416</v>
      </c>
    </row>
    <row r="40" ht="20" customHeight="1">
      <c r="A40" s="10" t="n">
        <v>39</v>
      </c>
      <c r="B40" s="2" t="inlineStr">
        <is>
          <t>Lohara</t>
        </is>
      </c>
      <c r="C40" s="2" t="inlineStr">
        <is>
          <t>Salegaon</t>
        </is>
      </c>
      <c r="D40" s="5" t="n">
        <v>1103.5</v>
      </c>
      <c r="E40" s="12" t="n">
        <v>11.04</v>
      </c>
      <c r="F40" s="11" t="n">
        <v>0.0203240058910162</v>
      </c>
    </row>
    <row r="41" ht="20" customHeight="1">
      <c r="A41" s="9" t="n">
        <v>40</v>
      </c>
      <c r="B41" s="3" t="inlineStr">
        <is>
          <t>Lohara</t>
        </is>
      </c>
      <c r="C41" s="3" t="inlineStr">
        <is>
          <t>Sastur</t>
        </is>
      </c>
      <c r="D41" s="13" t="n">
        <v>2503.8</v>
      </c>
      <c r="E41" s="4" t="n">
        <v>25.04</v>
      </c>
      <c r="F41" s="6" t="n">
        <v>0.04609720176730486</v>
      </c>
    </row>
    <row r="42" ht="20" customHeight="1">
      <c r="A42" s="10" t="n">
        <v>41</v>
      </c>
      <c r="B42" s="2" t="inlineStr">
        <is>
          <t>Lohara</t>
        </is>
      </c>
      <c r="C42" s="2" t="inlineStr">
        <is>
          <t>Tawshigad</t>
        </is>
      </c>
      <c r="D42" s="5" t="n">
        <v>1413.6</v>
      </c>
      <c r="E42" s="12" t="n">
        <v>14.14</v>
      </c>
      <c r="F42" s="11" t="n">
        <v>0.02603092783505154</v>
      </c>
    </row>
    <row r="43" ht="20" customHeight="1">
      <c r="A43" s="9" t="n">
        <v>42</v>
      </c>
      <c r="B43" s="3" t="inlineStr">
        <is>
          <t>Lohara</t>
        </is>
      </c>
      <c r="C43" s="3" t="inlineStr">
        <is>
          <t>Toramba</t>
        </is>
      </c>
      <c r="D43" s="13" t="n">
        <v>1039.7</v>
      </c>
      <c r="E43" s="4" t="n">
        <v>10.4</v>
      </c>
      <c r="F43" s="6" t="n">
        <v>0.01914580265095729</v>
      </c>
    </row>
    <row r="44" ht="20" customHeight="1">
      <c r="A44" s="10" t="n">
        <v>43</v>
      </c>
      <c r="B44" s="2" t="inlineStr">
        <is>
          <t>Lohara</t>
        </is>
      </c>
      <c r="C44" s="2" t="inlineStr">
        <is>
          <t>Udatpur</t>
        </is>
      </c>
      <c r="D44" s="5" t="n">
        <v>544.1</v>
      </c>
      <c r="E44" s="12" t="n">
        <v>5.44</v>
      </c>
      <c r="F44" s="11" t="n">
        <v>0.01001472754050074</v>
      </c>
    </row>
    <row r="45" ht="20" customHeight="1">
      <c r="A45" s="9" t="n">
        <v>44</v>
      </c>
      <c r="B45" s="3" t="inlineStr">
        <is>
          <t>Lohara</t>
        </is>
      </c>
      <c r="C45" s="3" t="inlineStr">
        <is>
          <t>Undargaon</t>
        </is>
      </c>
      <c r="D45" s="13" t="n">
        <v>1328.9</v>
      </c>
      <c r="E45" s="4" t="n">
        <v>13.29</v>
      </c>
      <c r="F45" s="6" t="n">
        <v>0.0244661266568483</v>
      </c>
    </row>
    <row r="46" ht="20" customHeight="1">
      <c r="A46" s="10" t="n">
        <v>45</v>
      </c>
      <c r="B46" s="2" t="inlineStr">
        <is>
          <t>Lohara</t>
        </is>
      </c>
      <c r="C46" s="2" t="inlineStr">
        <is>
          <t>Vilaspur pandhari</t>
        </is>
      </c>
      <c r="D46" s="5" t="n">
        <v>831</v>
      </c>
      <c r="E46" s="12" t="n">
        <v>8.31</v>
      </c>
      <c r="F46" s="11" t="n">
        <v>0.01529823269513991</v>
      </c>
    </row>
    <row r="47" ht="20" customHeight="1">
      <c r="A47" s="9" t="n">
        <v>46</v>
      </c>
      <c r="B47" s="3" t="inlineStr">
        <is>
          <t>Lohara</t>
        </is>
      </c>
      <c r="C47" s="3" t="inlineStr">
        <is>
          <t>Wadgaon</t>
        </is>
      </c>
      <c r="D47" s="13" t="n">
        <v>698.2</v>
      </c>
      <c r="E47" s="4" t="n">
        <v>6.98</v>
      </c>
      <c r="F47" s="6" t="n">
        <v>0.01284977908689249</v>
      </c>
    </row>
    <row r="48" ht="20" customHeight="1">
      <c r="A48" s="10" t="n">
        <v>47</v>
      </c>
      <c r="B48" s="2" t="inlineStr">
        <is>
          <t>Lohara</t>
        </is>
      </c>
      <c r="C48" s="2" t="inlineStr">
        <is>
          <t>Wadgaonwadi</t>
        </is>
      </c>
      <c r="D48" s="5" t="n">
        <v>929.5</v>
      </c>
      <c r="E48" s="12" t="n">
        <v>9.289999999999999</v>
      </c>
      <c r="F48" s="11" t="n">
        <v>0.01710235640648012</v>
      </c>
    </row>
    <row r="49" ht="20" customHeight="1">
      <c r="A49" s="14" t="inlineStr">
        <is>
          <t>TOTAL</t>
        </is>
      </c>
      <c r="B49" s="14" t="inlineStr">
        <is>
          <t>Lohara</t>
        </is>
      </c>
      <c r="C49" s="14" t="inlineStr">
        <is>
          <t>All 47 Villages</t>
        </is>
      </c>
      <c r="D49" s="15">
        <f>SUM(D2:D48)</f>
        <v/>
      </c>
      <c r="E49" s="16">
        <f>SUM(E2:E48)</f>
        <v/>
      </c>
      <c r="F49" s="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5" customWidth="1" min="3" max="3"/>
    <col width="19" customWidth="1" min="4" max="4"/>
    <col width="23" customWidth="1" min="5" max="5"/>
    <col width="60" customWidth="1" min="6" max="6"/>
  </cols>
  <sheetData>
    <row r="1" ht="28" customHeight="1">
      <c r="A1" s="1" t="inlineStr">
        <is>
          <t>Elevation Range</t>
        </is>
      </c>
      <c r="B1" s="1" t="inlineStr">
        <is>
          <t>Hypsometric Classification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of Lohara (%)</t>
        </is>
      </c>
      <c r="F1" s="1" t="inlineStr">
        <is>
          <t>Landform &amp; Drainage Description</t>
        </is>
      </c>
    </row>
    <row r="2" ht="20" customHeight="1">
      <c r="A2" s="2" t="inlineStr">
        <is>
          <t>400 – 450 m</t>
        </is>
      </c>
      <c r="B2" s="2" t="inlineStr">
        <is>
          <t>Lowest Incised Valleys</t>
        </is>
      </c>
      <c r="C2" s="12" t="n">
        <v>0</v>
      </c>
      <c r="D2" s="5" t="n">
        <v>0</v>
      </c>
      <c r="E2" s="11" t="n">
        <v>0</v>
      </c>
      <c r="F2" s="2" t="inlineStr">
        <is>
          <t>Not present in Lohara block</t>
        </is>
      </c>
    </row>
    <row r="3" ht="20" customHeight="1">
      <c r="A3" s="3" t="inlineStr">
        <is>
          <t>450 – 500 m</t>
        </is>
      </c>
      <c r="B3" s="3" t="inlineStr">
        <is>
          <t>Lower Valley Plains &amp; Depressions</t>
        </is>
      </c>
      <c r="C3" s="4" t="n">
        <v>0</v>
      </c>
      <c r="D3" s="13" t="n">
        <v>0</v>
      </c>
      <c r="E3" s="6" t="n">
        <v>0</v>
      </c>
      <c r="F3" s="3" t="inlineStr">
        <is>
          <t>Not present in Lohara block</t>
        </is>
      </c>
    </row>
    <row r="4" ht="20" customHeight="1">
      <c r="A4" s="2" t="inlineStr">
        <is>
          <t>500 – 550 m</t>
        </is>
      </c>
      <c r="B4" s="2" t="inlineStr">
        <is>
          <t>Middle Undulating Pediplain</t>
        </is>
      </c>
      <c r="C4" s="12" t="n">
        <v>3.6</v>
      </c>
      <c r="D4" s="5" t="n">
        <v>360</v>
      </c>
      <c r="E4" s="11" t="n">
        <v>0.0066</v>
      </c>
      <c r="F4" s="2" t="inlineStr">
        <is>
          <t>Extreme southern depression bordering Omerga</t>
        </is>
      </c>
    </row>
    <row r="5" ht="20" customHeight="1">
      <c r="A5" s="3" t="inlineStr">
        <is>
          <t>550 – 600 m</t>
        </is>
      </c>
      <c r="B5" s="3" t="inlineStr">
        <is>
          <t>Upper Pediment &amp; Plateau Flanks</t>
        </is>
      </c>
      <c r="C5" s="4" t="n">
        <v>107.2</v>
      </c>
      <c r="D5" s="13" t="n">
        <v>10720</v>
      </c>
      <c r="E5" s="6" t="n">
        <v>0.1973</v>
      </c>
      <c r="F5" s="3" t="inlineStr">
        <is>
          <t>Transitional slopes along Terna river headwaters</t>
        </is>
      </c>
    </row>
    <row r="6" ht="20" customHeight="1">
      <c r="A6" s="2" t="inlineStr">
        <is>
          <t>600 – 650 m</t>
        </is>
      </c>
      <c r="B6" s="2" t="inlineStr">
        <is>
          <t>Balaghat Main Plateau Tableland</t>
        </is>
      </c>
      <c r="C6" s="12" t="n">
        <v>400.2</v>
      </c>
      <c r="D6" s="5" t="n">
        <v>40020</v>
      </c>
      <c r="E6" s="11" t="n">
        <v>0.7367</v>
      </c>
      <c r="F6" s="2" t="inlineStr">
        <is>
          <t>Dominant extensive high plateau tableland (Karla-Lohara)</t>
        </is>
      </c>
    </row>
    <row r="7" ht="20" customHeight="1">
      <c r="A7" s="3" t="inlineStr">
        <is>
          <t>&gt; 650 m</t>
        </is>
      </c>
      <c r="B7" s="3" t="inlineStr">
        <is>
          <t>High Residual Ridges &amp; Escarpments</t>
        </is>
      </c>
      <c r="C7" s="4" t="n">
        <v>32.2</v>
      </c>
      <c r="D7" s="13" t="n">
        <v>3220</v>
      </c>
      <c r="E7" s="6" t="n">
        <v>0.0594</v>
      </c>
      <c r="F7" s="3" t="inlineStr">
        <is>
          <t>Prominent northern ridge crests and escarpment steps</t>
        </is>
      </c>
    </row>
    <row r="8" ht="20" customHeight="1">
      <c r="A8" s="14" t="inlineStr">
        <is>
          <t>TOTAL</t>
        </is>
      </c>
      <c r="B8" s="14" t="inlineStr">
        <is>
          <t>Lohara Total Area</t>
        </is>
      </c>
      <c r="C8" s="16">
        <f>SUM(C2:C7)</f>
        <v/>
      </c>
      <c r="D8" s="15">
        <f>SUM(D2:D7)</f>
        <v/>
      </c>
      <c r="E8" s="17" t="n">
        <v>1</v>
      </c>
      <c r="F8" s="14" t="inlineStr">
        <is>
          <t>Complete Elevation Spectrum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19" customWidth="1" min="4" max="4"/>
    <col width="23" customWidth="1" min="5" max="5"/>
    <col width="20" customWidth="1" min="6" max="6"/>
    <col width="62" customWidth="1" min="7" max="7"/>
  </cols>
  <sheetData>
    <row r="1" ht="28" customHeight="1">
      <c r="A1" s="1" t="inlineStr">
        <is>
          <t>Slope Range (°)</t>
        </is>
      </c>
      <c r="B1" s="1" t="inlineStr">
        <is>
          <t>Slope Classification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of Lohara (%)</t>
        </is>
      </c>
      <c r="F1" s="1" t="inlineStr">
        <is>
          <t>Erosion Hazard</t>
        </is>
      </c>
      <c r="G1" s="1" t="inlineStr">
        <is>
          <t>Agricultural &amp; Watershed Capability</t>
        </is>
      </c>
    </row>
    <row r="2" ht="20" customHeight="1">
      <c r="A2" s="2" t="inlineStr">
        <is>
          <t>0° – 1°</t>
        </is>
      </c>
      <c r="B2" s="2" t="inlineStr">
        <is>
          <t>Nearly Level</t>
        </is>
      </c>
      <c r="C2" s="12" t="n">
        <v>260.7</v>
      </c>
      <c r="D2" s="5" t="n">
        <v>26070</v>
      </c>
      <c r="E2" s="11" t="n">
        <v>0.48</v>
      </c>
      <c r="F2" s="2" t="inlineStr">
        <is>
          <t>Very Low</t>
        </is>
      </c>
      <c r="G2" s="2" t="inlineStr">
        <is>
          <t>Broad plateau tableland, highly uniform black soil farming</t>
        </is>
      </c>
    </row>
    <row r="3" ht="20" customHeight="1">
      <c r="A3" s="3" t="inlineStr">
        <is>
          <t>1° – 3°</t>
        </is>
      </c>
      <c r="B3" s="3" t="inlineStr">
        <is>
          <t>Very Gentle</t>
        </is>
      </c>
      <c r="C3" s="4" t="n">
        <v>259.2</v>
      </c>
      <c r="D3" s="13" t="n">
        <v>25920</v>
      </c>
      <c r="E3" s="6" t="n">
        <v>0.4772</v>
      </c>
      <c r="F3" s="3" t="inlineStr">
        <is>
          <t>Low</t>
        </is>
      </c>
      <c r="G3" s="3" t="inlineStr">
        <is>
          <t>Extensive soybean and chickpea cultivation, field bunds</t>
        </is>
      </c>
    </row>
    <row r="4" ht="20" customHeight="1">
      <c r="A4" s="2" t="inlineStr">
        <is>
          <t>3° – 5°</t>
        </is>
      </c>
      <c r="B4" s="2" t="inlineStr">
        <is>
          <t>Gentle</t>
        </is>
      </c>
      <c r="C4" s="12" t="n">
        <v>19.6</v>
      </c>
      <c r="D4" s="5" t="n">
        <v>1960</v>
      </c>
      <c r="E4" s="11" t="n">
        <v>0.0361</v>
      </c>
      <c r="F4" s="2" t="inlineStr">
        <is>
          <t>Moderate</t>
        </is>
      </c>
      <c r="G4" s="2" t="inlineStr">
        <is>
          <t>Colluvial flanks, pulses, farm ponds</t>
        </is>
      </c>
    </row>
    <row r="5" ht="20" customHeight="1">
      <c r="A5" s="3" t="inlineStr">
        <is>
          <t>5° – 10°</t>
        </is>
      </c>
      <c r="B5" s="3" t="inlineStr">
        <is>
          <t>Moderate</t>
        </is>
      </c>
      <c r="C5" s="4" t="n">
        <v>3.6</v>
      </c>
      <c r="D5" s="13" t="n">
        <v>360</v>
      </c>
      <c r="E5" s="6" t="n">
        <v>0.0066</v>
      </c>
      <c r="F5" s="3" t="inlineStr">
        <is>
          <t>High</t>
        </is>
      </c>
      <c r="G5" s="3" t="inlineStr">
        <is>
          <t>Ridge fringes, dryland horticulture</t>
        </is>
      </c>
    </row>
    <row r="6" ht="20" customHeight="1">
      <c r="A6" s="2" t="inlineStr">
        <is>
          <t>10° – 15°</t>
        </is>
      </c>
      <c r="B6" s="2" t="inlineStr">
        <is>
          <t>Moderately Steep</t>
        </is>
      </c>
      <c r="C6" s="12" t="n">
        <v>0.1</v>
      </c>
      <c r="D6" s="5" t="n">
        <v>10</v>
      </c>
      <c r="E6" s="11" t="n">
        <v>0.0001</v>
      </c>
      <c r="F6" s="2" t="inlineStr">
        <is>
          <t>Very High</t>
        </is>
      </c>
      <c r="G6" s="2" t="inlineStr">
        <is>
          <t>Localized escarpment breaks</t>
        </is>
      </c>
    </row>
    <row r="7" ht="20" customHeight="1">
      <c r="A7" s="3" t="inlineStr">
        <is>
          <t>&gt; 15°</t>
        </is>
      </c>
      <c r="B7" s="3" t="inlineStr">
        <is>
          <t>Steep Escarpments</t>
        </is>
      </c>
      <c r="C7" s="4" t="n">
        <v>0</v>
      </c>
      <c r="D7" s="13" t="n">
        <v>0</v>
      </c>
      <c r="E7" s="6" t="n">
        <v>0</v>
      </c>
      <c r="F7" s="3" t="inlineStr">
        <is>
          <t>Negligible</t>
        </is>
      </c>
      <c r="G7" s="3" t="inlineStr">
        <is>
          <t>No extensive rocky precipices in Lohara</t>
        </is>
      </c>
    </row>
    <row r="8" ht="20" customHeight="1">
      <c r="A8" s="14" t="inlineStr">
        <is>
          <t>TOTAL</t>
        </is>
      </c>
      <c r="B8" s="14" t="inlineStr">
        <is>
          <t>Lohara Total Area</t>
        </is>
      </c>
      <c r="C8" s="16">
        <f>SUM(C2:C7)</f>
        <v/>
      </c>
      <c r="D8" s="15">
        <f>SUM(D2:D7)</f>
        <v/>
      </c>
      <c r="E8" s="17" t="n">
        <v>1</v>
      </c>
      <c r="F8" s="14" t="inlineStr">
        <is>
          <t>Total Assessment</t>
        </is>
      </c>
      <c r="G8" s="14" t="inlineStr">
        <is>
          <t>Complete Slope Regime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7" customWidth="1" min="3" max="3"/>
    <col width="21" customWidth="1" min="4" max="4"/>
    <col width="24" customWidth="1" min="5" max="5"/>
    <col width="20" customWidth="1" min="6" max="6"/>
    <col width="67" customWidth="1" min="7" max="7"/>
  </cols>
  <sheetData>
    <row r="1" ht="28" customHeight="1">
      <c r="A1" s="1" t="inlineStr">
        <is>
          <t>Strahler Order</t>
        </is>
      </c>
      <c r="B1" s="1" t="inlineStr">
        <is>
          <t>Stream Hierarchy</t>
        </is>
      </c>
      <c r="C1" s="1" t="inlineStr">
        <is>
          <t>Segment Count</t>
        </is>
      </c>
      <c r="D1" s="1" t="inlineStr">
        <is>
          <t>Total Length (km)</t>
        </is>
      </c>
      <c r="E1" s="1" t="inlineStr">
        <is>
          <t>Share of Network (%)</t>
        </is>
      </c>
      <c r="F1" s="1" t="inlineStr">
        <is>
          <t>Mean Length (km)</t>
        </is>
      </c>
      <c r="G1" s="1" t="inlineStr">
        <is>
          <t>Recommended Recharge Structure</t>
        </is>
      </c>
    </row>
    <row r="2" ht="20" customHeight="1">
      <c r="A2" s="2" t="inlineStr">
        <is>
          <t>Order 1</t>
        </is>
      </c>
      <c r="B2" s="2" t="inlineStr">
        <is>
          <t>1st Order (Headwater Ephemeral Gully)</t>
        </is>
      </c>
      <c r="C2" s="7" t="n">
        <v>310</v>
      </c>
      <c r="D2" s="12" t="n">
        <v>305.71</v>
      </c>
      <c r="E2" s="11" t="n">
        <v>0.5244</v>
      </c>
      <c r="F2" s="12" t="n">
        <v>0.99</v>
      </c>
      <c r="G2" s="2" t="inlineStr">
        <is>
          <t>Continuous Contour Trenches (CCT), Loose Boulder Checks</t>
        </is>
      </c>
    </row>
    <row r="3" ht="20" customHeight="1">
      <c r="A3" s="3" t="inlineStr">
        <is>
          <t>Order 2</t>
        </is>
      </c>
      <c r="B3" s="3" t="inlineStr">
        <is>
          <t>2nd Order (Secondary Collecting Tributary)</t>
        </is>
      </c>
      <c r="C3" s="8" t="n">
        <v>153</v>
      </c>
      <c r="D3" s="4" t="n">
        <v>146.96</v>
      </c>
      <c r="E3" s="6" t="n">
        <v>0.2521</v>
      </c>
      <c r="F3" s="4" t="n">
        <v>0.96</v>
      </c>
      <c r="G3" s="3" t="inlineStr">
        <is>
          <t>Earthen Nala Bunds, Gabion Structures, Field Terracing</t>
        </is>
      </c>
    </row>
    <row r="4" ht="20" customHeight="1">
      <c r="A4" s="2" t="inlineStr">
        <is>
          <t>Order 3</t>
        </is>
      </c>
      <c r="B4" s="2" t="inlineStr">
        <is>
          <t>3rd Order (Major Drainage Stream)</t>
        </is>
      </c>
      <c r="C4" s="7" t="n">
        <v>96</v>
      </c>
      <c r="D4" s="12" t="n">
        <v>75.76000000000001</v>
      </c>
      <c r="E4" s="11" t="n">
        <v>0.13</v>
      </c>
      <c r="F4" s="12" t="n">
        <v>0.79</v>
      </c>
      <c r="G4" s="2" t="inlineStr">
        <is>
          <t>Masonry Check Dams, Cement Nala Bunds, Farm Pond Feeders</t>
        </is>
      </c>
    </row>
    <row r="5" ht="20" customHeight="1">
      <c r="A5" s="3" t="inlineStr">
        <is>
          <t>Order 4</t>
        </is>
      </c>
      <c r="B5" s="3" t="inlineStr">
        <is>
          <t>4th Order (Sub-Basin Trunk River / Terna)</t>
        </is>
      </c>
      <c r="C5" s="8" t="n">
        <v>52</v>
      </c>
      <c r="D5" s="4" t="n">
        <v>40.37</v>
      </c>
      <c r="E5" s="6" t="n">
        <v>0.0692</v>
      </c>
      <c r="F5" s="4" t="n">
        <v>0.78</v>
      </c>
      <c r="G5" s="3" t="inlineStr">
        <is>
          <t>Percolation Tanks (PT), Major Check Dams, Infiltration Wells</t>
        </is>
      </c>
    </row>
    <row r="6" ht="20" customHeight="1">
      <c r="A6" s="2" t="inlineStr">
        <is>
          <t>Order 5</t>
        </is>
      </c>
      <c r="B6" s="2" t="inlineStr">
        <is>
          <t>5th Order (Major Regional Confluence)</t>
        </is>
      </c>
      <c r="C6" s="7" t="n">
        <v>24</v>
      </c>
      <c r="D6" s="12" t="n">
        <v>14.18</v>
      </c>
      <c r="E6" s="11" t="n">
        <v>0.0243</v>
      </c>
      <c r="F6" s="12" t="n">
        <v>0.59</v>
      </c>
      <c r="G6" s="2" t="inlineStr">
        <is>
          <t>Subsurface Dykes, Infiltration Galleries, River Bank Protection</t>
        </is>
      </c>
    </row>
    <row r="7" ht="20" customHeight="1">
      <c r="A7" s="14" t="inlineStr">
        <is>
          <t>TOTAL</t>
        </is>
      </c>
      <c r="B7" s="14" t="inlineStr">
        <is>
          <t>Lohara Drainage Network</t>
        </is>
      </c>
      <c r="C7" s="18">
        <f>SUM(C2:C6)</f>
        <v/>
      </c>
      <c r="D7" s="16">
        <f>SUM(D2:D6)</f>
        <v/>
      </c>
      <c r="E7" s="17" t="n">
        <v>1</v>
      </c>
      <c r="F7" s="19" t="n">
        <v>0.92</v>
      </c>
      <c r="G7" s="14" t="inlineStr">
        <is>
          <t>Integrated Watershed Drainage Regime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9" customWidth="1" min="3" max="3"/>
    <col width="15" customWidth="1" min="4" max="4"/>
    <col width="23" customWidth="1" min="5" max="5"/>
    <col width="43" customWidth="1" min="6" max="6"/>
    <col width="69" customWidth="1" min="7" max="7"/>
  </cols>
  <sheetData>
    <row r="1" ht="28" customHeight="1">
      <c r="A1" s="1" t="inlineStr">
        <is>
          <t>Soil Code</t>
        </is>
      </c>
      <c r="B1" s="1" t="inlineStr">
        <is>
          <t>NBSS &amp; LUP Classification</t>
        </is>
      </c>
      <c r="C1" s="1" t="inlineStr">
        <is>
          <t>Area (Hectares)</t>
        </is>
      </c>
      <c r="D1" s="1" t="inlineStr">
        <is>
          <t>Area (km²)</t>
        </is>
      </c>
      <c r="E1" s="1" t="inlineStr">
        <is>
          <t>Share of Lohara (%)</t>
        </is>
      </c>
      <c r="F1" s="1" t="inlineStr">
        <is>
          <t>Taxonomic Subgroup</t>
        </is>
      </c>
      <c r="G1" s="1" t="inlineStr">
        <is>
          <t>Agronomic &amp; Moisture Behavior</t>
        </is>
      </c>
    </row>
    <row r="2" ht="20" customHeight="1">
      <c r="A2" s="2" t="inlineStr">
        <is>
          <t>Class 1</t>
        </is>
      </c>
      <c r="B2" s="2" t="inlineStr">
        <is>
          <t>Deep to Moderately Deep (&gt;50 cm)</t>
        </is>
      </c>
      <c r="C2" s="5" t="n">
        <v>4873</v>
      </c>
      <c r="D2" s="12" t="n">
        <v>48.73</v>
      </c>
      <c r="E2" s="11" t="n">
        <v>0.0897</v>
      </c>
      <c r="F2" s="2" t="inlineStr">
        <is>
          <t>Typic Chromusterts / Vertic Haplustepts</t>
        </is>
      </c>
      <c r="G2" s="2" t="inlineStr">
        <is>
          <t>High water retention along valleys; double cropped pulses/soybean</t>
        </is>
      </c>
    </row>
    <row r="3" ht="20" customHeight="1">
      <c r="A3" s="3" t="inlineStr">
        <is>
          <t>Class 2</t>
        </is>
      </c>
      <c r="B3" s="3" t="inlineStr">
        <is>
          <t>Shallow (25–50 cm)</t>
        </is>
      </c>
      <c r="C3" s="13" t="n">
        <v>18074</v>
      </c>
      <c r="D3" s="4" t="n">
        <v>180.74</v>
      </c>
      <c r="E3" s="6" t="n">
        <v>0.3327</v>
      </c>
      <c r="F3" s="3" t="inlineStr">
        <is>
          <t>Lithic Haplustepts</t>
        </is>
      </c>
      <c r="G3" s="3" t="inlineStr">
        <is>
          <t>Moderate depth on plateau surface; soybean and gram</t>
        </is>
      </c>
    </row>
    <row r="4" ht="20" customHeight="1">
      <c r="A4" s="2" t="inlineStr">
        <is>
          <t>Class 4</t>
        </is>
      </c>
      <c r="B4" s="2" t="inlineStr">
        <is>
          <t>Very Shallow (10–25 cm)</t>
        </is>
      </c>
      <c r="C4" s="5" t="n">
        <v>31256</v>
      </c>
      <c r="D4" s="12" t="n">
        <v>312.56</v>
      </c>
      <c r="E4" s="11" t="n">
        <v>0.5754</v>
      </c>
      <c r="F4" s="2" t="inlineStr">
        <is>
          <t>Lithic Ustorthents</t>
        </is>
      </c>
      <c r="G4" s="2" t="inlineStr">
        <is>
          <t>Shallow basalt weathering layer; requires strict moisture bunding</t>
        </is>
      </c>
    </row>
    <row r="5" ht="20" customHeight="1">
      <c r="A5" s="14" t="inlineStr">
        <is>
          <t>TOTAL</t>
        </is>
      </c>
      <c r="B5" s="14" t="inlineStr">
        <is>
          <t>Lohara Soil Resource</t>
        </is>
      </c>
      <c r="C5" s="15">
        <f>SUM(C2:C4)</f>
        <v/>
      </c>
      <c r="D5" s="16">
        <f>SUM(D2:D4)</f>
        <v/>
      </c>
      <c r="E5" s="17" t="n">
        <v>1</v>
      </c>
      <c r="F5" s="14" t="inlineStr">
        <is>
          <t>Deccan Trap Weathering Mantle</t>
        </is>
      </c>
      <c r="G5" s="14" t="inlineStr">
        <is>
          <t>Total Soil Profile Area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5" customWidth="1" min="3" max="3"/>
    <col width="19" customWidth="1" min="4" max="4"/>
    <col width="23" customWidth="1" min="5" max="5"/>
    <col width="26" customWidth="1" min="6" max="6"/>
    <col width="63" customWidth="1" min="7" max="7"/>
  </cols>
  <sheetData>
    <row r="1" ht="28" customHeight="1">
      <c r="A1" s="1" t="inlineStr">
        <is>
          <t>Texture Code</t>
        </is>
      </c>
      <c r="B1" s="1" t="inlineStr">
        <is>
          <t>USDA Texture Classification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of Lohara (%)</t>
        </is>
      </c>
      <c r="F1" s="1" t="inlineStr">
        <is>
          <t>Infiltration (mm/hr)</t>
        </is>
      </c>
      <c r="G1" s="1" t="inlineStr">
        <is>
          <t>Hydrological Characteristics</t>
        </is>
      </c>
    </row>
    <row r="2" ht="20" customHeight="1">
      <c r="A2" s="2" t="inlineStr">
        <is>
          <t>Class 1</t>
        </is>
      </c>
      <c r="B2" s="2" t="inlineStr">
        <is>
          <t>Clay (Deep Black Vertisols)</t>
        </is>
      </c>
      <c r="C2" s="12" t="n">
        <v>501.92</v>
      </c>
      <c r="D2" s="5" t="n">
        <v>50192</v>
      </c>
      <c r="E2" s="11" t="n">
        <v>0.924</v>
      </c>
      <c r="F2" s="2" t="inlineStr">
        <is>
          <t>1.0 – 5.0 (Slow)</t>
        </is>
      </c>
      <c r="G2" s="2" t="inlineStr">
        <is>
          <t>Heavy montmorillonitic clay, high moisture holding capacity</t>
        </is>
      </c>
    </row>
    <row r="3" ht="20" customHeight="1">
      <c r="A3" s="3" t="inlineStr">
        <is>
          <t>Class 4</t>
        </is>
      </c>
      <c r="B3" s="3" t="inlineStr">
        <is>
          <t>Clay Loam (Gravelly Loams)</t>
        </is>
      </c>
      <c r="C3" s="4" t="n">
        <v>28.25</v>
      </c>
      <c r="D3" s="13" t="n">
        <v>2825</v>
      </c>
      <c r="E3" s="6" t="n">
        <v>0.052</v>
      </c>
      <c r="F3" s="3" t="inlineStr">
        <is>
          <t>5.0 – 15.0 (Moderate)</t>
        </is>
      </c>
      <c r="G3" s="3" t="inlineStr">
        <is>
          <t>Weathered basalt colluvium along ridge margins</t>
        </is>
      </c>
    </row>
    <row r="4" ht="20" customHeight="1">
      <c r="A4" s="2" t="inlineStr">
        <is>
          <t>Class 255</t>
        </is>
      </c>
      <c r="B4" s="2" t="inlineStr">
        <is>
          <t>Waterbodies &amp; Non-Soil</t>
        </is>
      </c>
      <c r="C4" s="12" t="n">
        <v>13.03</v>
      </c>
      <c r="D4" s="5" t="n">
        <v>1303</v>
      </c>
      <c r="E4" s="11" t="n">
        <v>0.024</v>
      </c>
      <c r="F4" s="2" t="inlineStr">
        <is>
          <t>N/A</t>
        </is>
      </c>
      <c r="G4" s="2" t="inlineStr">
        <is>
          <t>Percolation tanks and rock exposures</t>
        </is>
      </c>
    </row>
    <row r="5" ht="20" customHeight="1">
      <c r="A5" s="14" t="inlineStr">
        <is>
          <t>TOTAL</t>
        </is>
      </c>
      <c r="B5" s="14" t="inlineStr">
        <is>
          <t>Lohara Texture Profile</t>
        </is>
      </c>
      <c r="C5" s="16">
        <f>SUM(C2:C4)</f>
        <v/>
      </c>
      <c r="D5" s="15">
        <f>SUM(D2:D4)</f>
        <v/>
      </c>
      <c r="E5" s="17" t="n">
        <v>1</v>
      </c>
      <c r="F5" s="14" t="inlineStr">
        <is>
          <t>USDA Triangle Standard</t>
        </is>
      </c>
      <c r="G5" s="14" t="inlineStr">
        <is>
          <t>Total Evaluated Area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2" customWidth="1" min="3" max="3"/>
    <col width="19" customWidth="1" min="4" max="4"/>
    <col width="16" customWidth="1" min="5" max="5"/>
    <col width="23" customWidth="1" min="6" max="6"/>
    <col width="60" customWidth="1" min="7" max="7"/>
  </cols>
  <sheetData>
    <row r="1" ht="28" customHeight="1">
      <c r="A1" s="1" t="inlineStr">
        <is>
          <t>LULC Code</t>
        </is>
      </c>
      <c r="B1" s="1" t="inlineStr">
        <is>
          <t>Level 1 Category</t>
        </is>
      </c>
      <c r="C1" s="1" t="inlineStr">
        <is>
          <t>Level 3 Detailed Class</t>
        </is>
      </c>
      <c r="D1" s="1" t="inlineStr">
        <is>
          <t>Area (Hectares)</t>
        </is>
      </c>
      <c r="E1" s="1" t="inlineStr">
        <is>
          <t>Area (km²)</t>
        </is>
      </c>
      <c r="F1" s="1" t="inlineStr">
        <is>
          <t>Share of Lohara (%)</t>
        </is>
      </c>
      <c r="G1" s="1" t="inlineStr">
        <is>
          <t>Seasonality / Agronomic Description</t>
        </is>
      </c>
    </row>
    <row r="2" ht="20" customHeight="1">
      <c r="A2" s="2" t="inlineStr">
        <is>
          <t>Class 1</t>
        </is>
      </c>
      <c r="B2" s="2" t="inlineStr">
        <is>
          <t>Built Up</t>
        </is>
      </c>
      <c r="C2" s="2" t="inlineStr">
        <is>
          <t>Built-Up Settlement</t>
        </is>
      </c>
      <c r="D2" s="5" t="n">
        <v>1243</v>
      </c>
      <c r="E2" s="12" t="n">
        <v>12.43</v>
      </c>
      <c r="F2" s="11" t="n">
        <v>0.0229</v>
      </c>
      <c r="G2" s="2" t="inlineStr">
        <is>
          <t>Lohara taluka center and 47 village settlements</t>
        </is>
      </c>
    </row>
    <row r="3" ht="20" customHeight="1">
      <c r="A3" s="3" t="inlineStr">
        <is>
          <t>Class 2</t>
        </is>
      </c>
      <c r="B3" s="3" t="inlineStr">
        <is>
          <t>Agricultural Land</t>
        </is>
      </c>
      <c r="C3" s="3" t="inlineStr">
        <is>
          <t>Kharif Cropland</t>
        </is>
      </c>
      <c r="D3" s="13" t="n">
        <v>11330</v>
      </c>
      <c r="E3" s="4" t="n">
        <v>113.3</v>
      </c>
      <c r="F3" s="6" t="n">
        <v>0.2086</v>
      </c>
      <c r="G3" s="3" t="inlineStr">
        <is>
          <t>Rainfed monsoon soybean, pigeonpea, and cotton</t>
        </is>
      </c>
    </row>
    <row r="4" ht="20" customHeight="1">
      <c r="A4" s="2" t="inlineStr">
        <is>
          <t>Class 3</t>
        </is>
      </c>
      <c r="B4" s="2" t="inlineStr">
        <is>
          <t>Agricultural Land</t>
        </is>
      </c>
      <c r="C4" s="2" t="inlineStr">
        <is>
          <t>Rabi Cropland</t>
        </is>
      </c>
      <c r="D4" s="5" t="n">
        <v>3197</v>
      </c>
      <c r="E4" s="12" t="n">
        <v>31.97</v>
      </c>
      <c r="F4" s="11" t="n">
        <v>0.0589</v>
      </c>
      <c r="G4" s="2" t="inlineStr">
        <is>
          <t>Winter post-monsoon gram and Rabi sorghum</t>
        </is>
      </c>
    </row>
    <row r="5" ht="20" customHeight="1">
      <c r="A5" s="3" t="inlineStr">
        <is>
          <t>Class 4</t>
        </is>
      </c>
      <c r="B5" s="3" t="inlineStr">
        <is>
          <t>Agricultural Land</t>
        </is>
      </c>
      <c r="C5" s="3" t="inlineStr">
        <is>
          <t>Zaid Cropland</t>
        </is>
      </c>
      <c r="D5" s="13" t="n">
        <v>12</v>
      </c>
      <c r="E5" s="4" t="n">
        <v>0.12</v>
      </c>
      <c r="F5" s="6" t="n">
        <v>0.0002</v>
      </c>
      <c r="G5" s="3" t="inlineStr">
        <is>
          <t>Summer vegetable patches near Terna pools</t>
        </is>
      </c>
    </row>
    <row r="6" ht="20" customHeight="1">
      <c r="A6" s="2" t="inlineStr">
        <is>
          <t>Class 5</t>
        </is>
      </c>
      <c r="B6" s="2" t="inlineStr">
        <is>
          <t>Agricultural Land</t>
        </is>
      </c>
      <c r="C6" s="2" t="inlineStr">
        <is>
          <t>Double / Triple Crop</t>
        </is>
      </c>
      <c r="D6" s="5" t="n">
        <v>13553</v>
      </c>
      <c r="E6" s="12" t="n">
        <v>135.53</v>
      </c>
      <c r="F6" s="11" t="n">
        <v>0.2495</v>
      </c>
      <c r="G6" s="2" t="inlineStr">
        <is>
          <t>Intensively cultivated sugarcane and multi-cropped farms</t>
        </is>
      </c>
    </row>
    <row r="7" ht="20" customHeight="1">
      <c r="A7" s="3" t="inlineStr">
        <is>
          <t>Class 6</t>
        </is>
      </c>
      <c r="B7" s="3" t="inlineStr">
        <is>
          <t>Agricultural Land</t>
        </is>
      </c>
      <c r="C7" s="3" t="inlineStr">
        <is>
          <t>Current Fallow</t>
        </is>
      </c>
      <c r="D7" s="13" t="n">
        <v>14661</v>
      </c>
      <c r="E7" s="4" t="n">
        <v>146.61</v>
      </c>
      <c r="F7" s="6" t="n">
        <v>0.2699</v>
      </c>
      <c r="G7" s="3" t="inlineStr">
        <is>
          <t>Resting cultivable land during dry spell intervals</t>
        </is>
      </c>
    </row>
    <row r="8" ht="20" customHeight="1">
      <c r="A8" s="2" t="inlineStr">
        <is>
          <t>Class 7</t>
        </is>
      </c>
      <c r="B8" s="2" t="inlineStr">
        <is>
          <t>Agricultural Land</t>
        </is>
      </c>
      <c r="C8" s="2" t="inlineStr">
        <is>
          <t>Plantation / Horticulture</t>
        </is>
      </c>
      <c r="D8" s="5" t="n">
        <v>91</v>
      </c>
      <c r="E8" s="12" t="n">
        <v>0.91</v>
      </c>
      <c r="F8" s="11" t="n">
        <v>0.0017</v>
      </c>
      <c r="G8" s="2" t="inlineStr">
        <is>
          <t>Orchards and farm agroforestry</t>
        </is>
      </c>
    </row>
    <row r="9" ht="20" customHeight="1">
      <c r="A9" s="3" t="inlineStr">
        <is>
          <t>Class 9</t>
        </is>
      </c>
      <c r="B9" s="3" t="inlineStr">
        <is>
          <t>Forest</t>
        </is>
      </c>
      <c r="C9" s="3" t="inlineStr">
        <is>
          <t>Deciduous Forest</t>
        </is>
      </c>
      <c r="D9" s="13" t="n">
        <v>80</v>
      </c>
      <c r="E9" s="4" t="n">
        <v>0.8</v>
      </c>
      <c r="F9" s="6" t="n">
        <v>0.0015</v>
      </c>
      <c r="G9" s="3" t="inlineStr">
        <is>
          <t>Isolated hilltop forest reserves</t>
        </is>
      </c>
    </row>
    <row r="10" ht="20" customHeight="1">
      <c r="A10" s="2" t="inlineStr">
        <is>
          <t>Class 10</t>
        </is>
      </c>
      <c r="B10" s="2" t="inlineStr">
        <is>
          <t>Forest</t>
        </is>
      </c>
      <c r="C10" s="2" t="inlineStr">
        <is>
          <t>Degraded / Scrub Forest</t>
        </is>
      </c>
      <c r="D10" s="5" t="n">
        <v>24</v>
      </c>
      <c r="E10" s="12" t="n">
        <v>0.24</v>
      </c>
      <c r="F10" s="11" t="n">
        <v>0.0004</v>
      </c>
      <c r="G10" s="2" t="inlineStr">
        <is>
          <t>Open scrub along boundaries</t>
        </is>
      </c>
    </row>
    <row r="11" ht="20" customHeight="1">
      <c r="A11" s="3" t="inlineStr">
        <is>
          <t>Class 14</t>
        </is>
      </c>
      <c r="B11" s="3" t="inlineStr">
        <is>
          <t>Wasteland</t>
        </is>
      </c>
      <c r="C11" s="3" t="inlineStr">
        <is>
          <t>Wasteland / Scrub</t>
        </is>
      </c>
      <c r="D11" s="13" t="n">
        <v>7776</v>
      </c>
      <c r="E11" s="4" t="n">
        <v>77.76000000000001</v>
      </c>
      <c r="F11" s="6" t="n">
        <v>0.1432</v>
      </c>
      <c r="G11" s="3" t="inlineStr">
        <is>
          <t>Gravelly plateau steps and grazing wastelands</t>
        </is>
      </c>
    </row>
    <row r="12" ht="20" customHeight="1">
      <c r="A12" s="2" t="inlineStr">
        <is>
          <t>Class 16</t>
        </is>
      </c>
      <c r="B12" s="2" t="inlineStr">
        <is>
          <t>Waterbodies</t>
        </is>
      </c>
      <c r="C12" s="2" t="inlineStr">
        <is>
          <t>Reservoir / Lake</t>
        </is>
      </c>
      <c r="D12" s="5" t="n">
        <v>808</v>
      </c>
      <c r="E12" s="12" t="n">
        <v>8.08</v>
      </c>
      <c r="F12" s="11" t="n">
        <v>0.0149</v>
      </c>
      <c r="G12" s="2" t="inlineStr">
        <is>
          <t>Irrigation tanks and percolation structures</t>
        </is>
      </c>
    </row>
    <row r="13" ht="20" customHeight="1">
      <c r="A13" s="3" t="inlineStr">
        <is>
          <t>Class 17</t>
        </is>
      </c>
      <c r="B13" s="3" t="inlineStr">
        <is>
          <t>Waterbodies</t>
        </is>
      </c>
      <c r="C13" s="3" t="inlineStr">
        <is>
          <t>River / Stream Channels</t>
        </is>
      </c>
      <c r="D13" s="13" t="n">
        <v>1466</v>
      </c>
      <c r="E13" s="4" t="n">
        <v>14.66</v>
      </c>
      <c r="F13" s="6" t="n">
        <v>0.027</v>
      </c>
      <c r="G13" s="3" t="inlineStr">
        <is>
          <t>Terna river active channels and stream beds</t>
        </is>
      </c>
    </row>
    <row r="14" ht="20" customHeight="1">
      <c r="A14" s="14" t="inlineStr">
        <is>
          <t>TOTAL</t>
        </is>
      </c>
      <c r="B14" s="14" t="inlineStr">
        <is>
          <t>All Categories</t>
        </is>
      </c>
      <c r="C14" s="14" t="inlineStr">
        <is>
          <t>Complete Land Cover Spectrum</t>
        </is>
      </c>
      <c r="D14" s="15">
        <f>SUM(D2:D13)</f>
        <v/>
      </c>
      <c r="E14" s="16">
        <f>SUM(E2:E13)</f>
        <v/>
      </c>
      <c r="F14" s="17" t="n">
        <v>1</v>
      </c>
      <c r="G14" s="14" t="inlineStr">
        <is>
          <t>Total Block Geographical Area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0" customWidth="1" min="4" max="4"/>
    <col width="22" customWidth="1" min="5" max="5"/>
    <col width="18" customWidth="1" min="6" max="6"/>
    <col width="59" customWidth="1" min="7" max="7"/>
  </cols>
  <sheetData>
    <row r="1" ht="28" customHeight="1">
      <c r="A1" s="1" t="inlineStr">
        <is>
          <t>Biomass Tier</t>
        </is>
      </c>
      <c r="B1" s="1" t="inlineStr">
        <is>
          <t>NDVI Value Range</t>
        </is>
      </c>
      <c r="C1" s="1" t="inlineStr">
        <is>
          <t>Kharif 2024 (km²)</t>
        </is>
      </c>
      <c r="D1" s="1" t="inlineStr">
        <is>
          <t>Kharif Share (%)</t>
        </is>
      </c>
      <c r="E1" s="1" t="inlineStr">
        <is>
          <t>Rabi 2024-25 (km²)</t>
        </is>
      </c>
      <c r="F1" s="1" t="inlineStr">
        <is>
          <t>Rabi Share (%)</t>
        </is>
      </c>
      <c r="G1" s="1" t="inlineStr">
        <is>
          <t>Phenological Crop Dynamics</t>
        </is>
      </c>
    </row>
    <row r="2" ht="20" customHeight="1">
      <c r="A2" s="2" t="inlineStr">
        <is>
          <t>Water &amp; Barren Rock</t>
        </is>
      </c>
      <c r="B2" s="2" t="inlineStr">
        <is>
          <t>&lt; 0.10</t>
        </is>
      </c>
      <c r="C2" s="12" t="n">
        <v>18.1</v>
      </c>
      <c r="D2" s="11" t="n">
        <v>0.0333</v>
      </c>
      <c r="E2" s="12" t="n">
        <v>29.95</v>
      </c>
      <c r="F2" s="11" t="n">
        <v>0.0551</v>
      </c>
      <c r="G2" s="2" t="inlineStr">
        <is>
          <t>Dry rock exposures and water bodies post-monsoon</t>
        </is>
      </c>
    </row>
    <row r="3" ht="20" customHeight="1">
      <c r="A3" s="3" t="inlineStr">
        <is>
          <t>Fallow &amp; Sparse Cover</t>
        </is>
      </c>
      <c r="B3" s="3" t="inlineStr">
        <is>
          <t>0.10 – 0.25</t>
        </is>
      </c>
      <c r="C3" s="4" t="n">
        <v>102.2</v>
      </c>
      <c r="D3" s="6" t="n">
        <v>0.1881</v>
      </c>
      <c r="E3" s="4" t="n">
        <v>197.4</v>
      </c>
      <c r="F3" s="6" t="n">
        <v>0.3634</v>
      </c>
      <c r="G3" s="3" t="inlineStr">
        <is>
          <t>Harvested Kharif soybean and jowar fields</t>
        </is>
      </c>
    </row>
    <row r="4" ht="20" customHeight="1">
      <c r="A4" s="2" t="inlineStr">
        <is>
          <t>Moderate Biomass</t>
        </is>
      </c>
      <c r="B4" s="2" t="inlineStr">
        <is>
          <t>0.25 – 0.45</t>
        </is>
      </c>
      <c r="C4" s="12" t="n">
        <v>215.9</v>
      </c>
      <c r="D4" s="11" t="n">
        <v>0.3975</v>
      </c>
      <c r="E4" s="12" t="n">
        <v>219.05</v>
      </c>
      <c r="F4" s="11" t="n">
        <v>0.4033</v>
      </c>
      <c r="G4" s="2" t="inlineStr">
        <is>
          <t>Post-monsoon Rabi chickpea and irrigated crops</t>
        </is>
      </c>
    </row>
    <row r="5" ht="20" customHeight="1">
      <c r="A5" s="3" t="inlineStr">
        <is>
          <t>Dense Healthy Crops</t>
        </is>
      </c>
      <c r="B5" s="3" t="inlineStr">
        <is>
          <t>0.45 – 0.65</t>
        </is>
      </c>
      <c r="C5" s="4" t="n">
        <v>171.5</v>
      </c>
      <c r="D5" s="6" t="n">
        <v>0.3157</v>
      </c>
      <c r="E5" s="4" t="n">
        <v>83.09999999999999</v>
      </c>
      <c r="F5" s="6" t="n">
        <v>0.153</v>
      </c>
      <c r="G5" s="3" t="inlineStr">
        <is>
          <t>Monsoon peak vegetative biomass on tableland</t>
        </is>
      </c>
    </row>
    <row r="6" ht="20" customHeight="1">
      <c r="A6" s="2" t="inlineStr">
        <is>
          <t>Very High Biomass</t>
        </is>
      </c>
      <c r="B6" s="2" t="inlineStr">
        <is>
          <t>&gt; 0.65</t>
        </is>
      </c>
      <c r="C6" s="12" t="n">
        <v>35.5</v>
      </c>
      <c r="D6" s="11" t="n">
        <v>0.0654</v>
      </c>
      <c r="E6" s="12" t="n">
        <v>13.7</v>
      </c>
      <c r="F6" s="11" t="n">
        <v>0.0252</v>
      </c>
      <c r="G6" s="2" t="inlineStr">
        <is>
          <t>Sugarcane belts along Terna river valley</t>
        </is>
      </c>
    </row>
    <row r="7" ht="20" customHeight="1">
      <c r="A7" s="14" t="inlineStr">
        <is>
          <t>TOTAL</t>
        </is>
      </c>
      <c r="B7" s="14" t="inlineStr">
        <is>
          <t>Lohara Total Area</t>
        </is>
      </c>
      <c r="C7" s="16">
        <f>SUM(C2:C6)</f>
        <v/>
      </c>
      <c r="D7" s="17" t="n">
        <v>1</v>
      </c>
      <c r="E7" s="16">
        <f>SUM(E2:E6)</f>
        <v/>
      </c>
      <c r="F7" s="17" t="n">
        <v>1</v>
      </c>
      <c r="G7" s="14" t="inlineStr">
        <is>
          <t>Mean Kharif: 0.476 | Mean Rabi: 0.346 (Lohara Baseline)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4" customWidth="1" min="4" max="4"/>
    <col width="24" customWidth="1" min="5" max="5"/>
    <col width="20" customWidth="1" min="6" max="6"/>
    <col width="28" customWidth="1" min="7" max="7"/>
    <col width="15" customWidth="1" min="8" max="8"/>
    <col width="47" customWidth="1" min="9" max="9"/>
  </cols>
  <sheetData>
    <row r="1" ht="28" customHeight="1">
      <c r="A1" s="1" t="inlineStr">
        <is>
          <t>Year</t>
        </is>
      </c>
      <c r="B1" s="1" t="inlineStr">
        <is>
          <t>Annual Rainfall (mm)</t>
        </is>
      </c>
      <c r="C1" s="1" t="inlineStr">
        <is>
          <t>Monsoon JJAS (mm)</t>
        </is>
      </c>
      <c r="D1" s="1" t="inlineStr">
        <is>
          <t>Post-Monsoon ON (mm)</t>
        </is>
      </c>
      <c r="E1" s="1" t="inlineStr">
        <is>
          <t>Pre-Monsoon MAM (mm)</t>
        </is>
      </c>
      <c r="F1" s="1" t="inlineStr">
        <is>
          <t>Winter DJ (mm)</t>
        </is>
      </c>
      <c r="G1" s="1" t="inlineStr">
        <is>
          <t>Deviation from Mean (mm)</t>
        </is>
      </c>
      <c r="H1" s="1" t="inlineStr">
        <is>
          <t>Anomaly (%)</t>
        </is>
      </c>
      <c r="I1" s="1" t="inlineStr">
        <is>
          <t>Meteorological Classification</t>
        </is>
      </c>
    </row>
    <row r="2" ht="20" customHeight="1">
      <c r="A2" s="10" t="n">
        <v>1991</v>
      </c>
      <c r="B2" s="5" t="n">
        <v>711.1</v>
      </c>
      <c r="C2" s="5" t="n">
        <v>618.1</v>
      </c>
      <c r="D2" s="5" t="n">
        <v>23.2</v>
      </c>
      <c r="E2" s="5" t="n">
        <v>69.7</v>
      </c>
      <c r="F2" s="5" t="n">
        <v>0</v>
      </c>
      <c r="G2" s="20" t="n">
        <v>-75</v>
      </c>
      <c r="H2" s="21" t="n">
        <v>-0.0954</v>
      </c>
      <c r="I2" s="2" t="inlineStr">
        <is>
          <t>Normal Rainfall Year (±20%)</t>
        </is>
      </c>
    </row>
    <row r="3" ht="20" customHeight="1">
      <c r="A3" s="9" t="n">
        <v>1992</v>
      </c>
      <c r="B3" s="13" t="n">
        <v>596.7</v>
      </c>
      <c r="C3" s="13" t="n">
        <v>494.8</v>
      </c>
      <c r="D3" s="13" t="n">
        <v>68.09999999999999</v>
      </c>
      <c r="E3" s="13" t="n">
        <v>33.7</v>
      </c>
      <c r="F3" s="13" t="n">
        <v>0</v>
      </c>
      <c r="G3" s="22" t="n">
        <v>-189.4</v>
      </c>
      <c r="H3" s="23" t="n">
        <v>-0.2409</v>
      </c>
      <c r="I3" s="3" t="inlineStr">
        <is>
          <t>Deficient / Drought Year (&lt; -20%)</t>
        </is>
      </c>
    </row>
    <row r="4" ht="20" customHeight="1">
      <c r="A4" s="10" t="n">
        <v>1993</v>
      </c>
      <c r="B4" s="5" t="n">
        <v>701</v>
      </c>
      <c r="C4" s="5" t="n">
        <v>439.1</v>
      </c>
      <c r="D4" s="5" t="n">
        <v>200.2</v>
      </c>
      <c r="E4" s="5" t="n">
        <v>61.7</v>
      </c>
      <c r="F4" s="5" t="n">
        <v>0</v>
      </c>
      <c r="G4" s="20" t="n">
        <v>-85.09999999999999</v>
      </c>
      <c r="H4" s="21" t="n">
        <v>-0.1083</v>
      </c>
      <c r="I4" s="2" t="inlineStr">
        <is>
          <t>Normal Rainfall Year (±20%)</t>
        </is>
      </c>
    </row>
    <row r="5" ht="20" customHeight="1">
      <c r="A5" s="9" t="n">
        <v>1994</v>
      </c>
      <c r="B5" s="13" t="n">
        <v>697.6</v>
      </c>
      <c r="C5" s="13" t="n">
        <v>455.1</v>
      </c>
      <c r="D5" s="13" t="n">
        <v>169</v>
      </c>
      <c r="E5" s="13" t="n">
        <v>72.5</v>
      </c>
      <c r="F5" s="13" t="n">
        <v>0.9</v>
      </c>
      <c r="G5" s="22" t="n">
        <v>-88.5</v>
      </c>
      <c r="H5" s="23" t="n">
        <v>-0.1126</v>
      </c>
      <c r="I5" s="3" t="inlineStr">
        <is>
          <t>Normal Rainfall Year (±20%)</t>
        </is>
      </c>
    </row>
    <row r="6" ht="20" customHeight="1">
      <c r="A6" s="10" t="n">
        <v>1995</v>
      </c>
      <c r="B6" s="5" t="n">
        <v>716.6</v>
      </c>
      <c r="C6" s="5" t="n">
        <v>537.1</v>
      </c>
      <c r="D6" s="5" t="n">
        <v>136.1</v>
      </c>
      <c r="E6" s="5" t="n">
        <v>41.9</v>
      </c>
      <c r="F6" s="5" t="n">
        <v>1.6</v>
      </c>
      <c r="G6" s="20" t="n">
        <v>-69.5</v>
      </c>
      <c r="H6" s="21" t="n">
        <v>-0.08840000000000001</v>
      </c>
      <c r="I6" s="2" t="inlineStr">
        <is>
          <t>Normal Rainfall Year (±20%)</t>
        </is>
      </c>
    </row>
    <row r="7" ht="20" customHeight="1">
      <c r="A7" s="9" t="n">
        <v>1996</v>
      </c>
      <c r="B7" s="13" t="n">
        <v>705.5</v>
      </c>
      <c r="C7" s="13" t="n">
        <v>573.9</v>
      </c>
      <c r="D7" s="13" t="n">
        <v>105.1</v>
      </c>
      <c r="E7" s="13" t="n">
        <v>26.5</v>
      </c>
      <c r="F7" s="13" t="n">
        <v>0</v>
      </c>
      <c r="G7" s="22" t="n">
        <v>-80.59999999999999</v>
      </c>
      <c r="H7" s="23" t="n">
        <v>-0.1025</v>
      </c>
      <c r="I7" s="3" t="inlineStr">
        <is>
          <t>Normal Rainfall Year (±20%)</t>
        </is>
      </c>
    </row>
    <row r="8" ht="20" customHeight="1">
      <c r="A8" s="10" t="n">
        <v>1997</v>
      </c>
      <c r="B8" s="5" t="n">
        <v>477.3</v>
      </c>
      <c r="C8" s="5" t="n">
        <v>323.1</v>
      </c>
      <c r="D8" s="5" t="n">
        <v>115.9</v>
      </c>
      <c r="E8" s="5" t="n">
        <v>38.5</v>
      </c>
      <c r="F8" s="5" t="n">
        <v>0</v>
      </c>
      <c r="G8" s="20" t="n">
        <v>-308.8</v>
      </c>
      <c r="H8" s="21" t="n">
        <v>-0.3928</v>
      </c>
      <c r="I8" s="2" t="inlineStr">
        <is>
          <t>Deficient / Drought Year (&lt; -20%)</t>
        </is>
      </c>
    </row>
    <row r="9" ht="20" customHeight="1">
      <c r="A9" s="9" t="n">
        <v>1998</v>
      </c>
      <c r="B9" s="13" t="n">
        <v>981.7</v>
      </c>
      <c r="C9" s="13" t="n">
        <v>767</v>
      </c>
      <c r="D9" s="13" t="n">
        <v>180.9</v>
      </c>
      <c r="E9" s="13" t="n">
        <v>33.9</v>
      </c>
      <c r="F9" s="13" t="n">
        <v>0</v>
      </c>
      <c r="G9" s="22" t="n">
        <v>195.6</v>
      </c>
      <c r="H9" s="23" t="n">
        <v>0.2488</v>
      </c>
      <c r="I9" s="3" t="inlineStr">
        <is>
          <t>Excess / Wet Year (&gt; +20%)</t>
        </is>
      </c>
    </row>
    <row r="10" ht="20" customHeight="1">
      <c r="A10" s="10" t="n">
        <v>1999</v>
      </c>
      <c r="B10" s="5" t="n">
        <v>773</v>
      </c>
      <c r="C10" s="5" t="n">
        <v>544.7</v>
      </c>
      <c r="D10" s="5" t="n">
        <v>112.2</v>
      </c>
      <c r="E10" s="5" t="n">
        <v>109.7</v>
      </c>
      <c r="F10" s="5" t="n">
        <v>6.3</v>
      </c>
      <c r="G10" s="20" t="n">
        <v>-13.1</v>
      </c>
      <c r="H10" s="21" t="n">
        <v>-0.0167</v>
      </c>
      <c r="I10" s="2" t="inlineStr">
        <is>
          <t>Normal Rainfall Year (±20%)</t>
        </is>
      </c>
    </row>
    <row r="11" ht="20" customHeight="1">
      <c r="A11" s="9" t="n">
        <v>2000</v>
      </c>
      <c r="B11" s="13" t="n">
        <v>905.2</v>
      </c>
      <c r="C11" s="13" t="n">
        <v>744.8</v>
      </c>
      <c r="D11" s="13" t="n">
        <v>86.09999999999999</v>
      </c>
      <c r="E11" s="13" t="n">
        <v>74.3</v>
      </c>
      <c r="F11" s="13" t="n">
        <v>0</v>
      </c>
      <c r="G11" s="22" t="n">
        <v>119.1</v>
      </c>
      <c r="H11" s="23" t="n">
        <v>0.1515</v>
      </c>
      <c r="I11" s="3" t="inlineStr">
        <is>
          <t>Normal Rainfall Year (±20%)</t>
        </is>
      </c>
    </row>
    <row r="12" ht="20" customHeight="1">
      <c r="A12" s="10" t="n">
        <v>2001</v>
      </c>
      <c r="B12" s="5" t="n">
        <v>752.4</v>
      </c>
      <c r="C12" s="5" t="n">
        <v>554.4</v>
      </c>
      <c r="D12" s="5" t="n">
        <v>171</v>
      </c>
      <c r="E12" s="5" t="n">
        <v>26.6</v>
      </c>
      <c r="F12" s="5" t="n">
        <v>0.4</v>
      </c>
      <c r="G12" s="20" t="n">
        <v>-33.7</v>
      </c>
      <c r="H12" s="21" t="n">
        <v>-0.0429</v>
      </c>
      <c r="I12" s="2" t="inlineStr">
        <is>
          <t>Normal Rainfall Year (±20%)</t>
        </is>
      </c>
    </row>
    <row r="13" ht="20" customHeight="1">
      <c r="A13" s="9" t="n">
        <v>2002</v>
      </c>
      <c r="B13" s="13" t="n">
        <v>579.2</v>
      </c>
      <c r="C13" s="13" t="n">
        <v>420.2</v>
      </c>
      <c r="D13" s="13" t="n">
        <v>84.2</v>
      </c>
      <c r="E13" s="13" t="n">
        <v>73.90000000000001</v>
      </c>
      <c r="F13" s="13" t="n">
        <v>0.9</v>
      </c>
      <c r="G13" s="22" t="n">
        <v>-206.9</v>
      </c>
      <c r="H13" s="23" t="n">
        <v>-0.2632</v>
      </c>
      <c r="I13" s="3" t="inlineStr">
        <is>
          <t>Deficient / Drought Year (&lt; -20%)</t>
        </is>
      </c>
    </row>
    <row r="14" ht="20" customHeight="1">
      <c r="A14" s="10" t="n">
        <v>2003</v>
      </c>
      <c r="B14" s="5" t="n">
        <v>477.5</v>
      </c>
      <c r="C14" s="5" t="n">
        <v>396.6</v>
      </c>
      <c r="D14" s="5" t="n">
        <v>40.4</v>
      </c>
      <c r="E14" s="5" t="n">
        <v>38.2</v>
      </c>
      <c r="F14" s="5" t="n">
        <v>2.4</v>
      </c>
      <c r="G14" s="20" t="n">
        <v>-308.6</v>
      </c>
      <c r="H14" s="21" t="n">
        <v>-0.3926</v>
      </c>
      <c r="I14" s="2" t="inlineStr">
        <is>
          <t>Deficient / Drought Year (&lt; -20%)</t>
        </is>
      </c>
    </row>
    <row r="15" ht="20" customHeight="1">
      <c r="A15" s="9" t="n">
        <v>2004</v>
      </c>
      <c r="B15" s="13" t="n">
        <v>591.8</v>
      </c>
      <c r="C15" s="13" t="n">
        <v>459.9</v>
      </c>
      <c r="D15" s="13" t="n">
        <v>33.5</v>
      </c>
      <c r="E15" s="13" t="n">
        <v>98.40000000000001</v>
      </c>
      <c r="F15" s="13" t="n">
        <v>0</v>
      </c>
      <c r="G15" s="22" t="n">
        <v>-194.3</v>
      </c>
      <c r="H15" s="23" t="n">
        <v>-0.2472</v>
      </c>
      <c r="I15" s="3" t="inlineStr">
        <is>
          <t>Deficient / Drought Year (&lt; -20%)</t>
        </is>
      </c>
    </row>
    <row r="16" ht="20" customHeight="1">
      <c r="A16" s="10" t="n">
        <v>2005</v>
      </c>
      <c r="B16" s="5" t="n">
        <v>1049.2</v>
      </c>
      <c r="C16" s="5" t="n">
        <v>786.4</v>
      </c>
      <c r="D16" s="5" t="n">
        <v>184.3</v>
      </c>
      <c r="E16" s="5" t="n">
        <v>78.40000000000001</v>
      </c>
      <c r="F16" s="5" t="n">
        <v>0</v>
      </c>
      <c r="G16" s="20" t="n">
        <v>263.1</v>
      </c>
      <c r="H16" s="21" t="n">
        <v>0.3347</v>
      </c>
      <c r="I16" s="2" t="inlineStr">
        <is>
          <t>Excess / Wet Year (&gt; +20%)</t>
        </is>
      </c>
    </row>
    <row r="17" ht="20" customHeight="1">
      <c r="A17" s="9" t="n">
        <v>2006</v>
      </c>
      <c r="B17" s="13" t="n">
        <v>943.7</v>
      </c>
      <c r="C17" s="13" t="n">
        <v>694.8</v>
      </c>
      <c r="D17" s="13" t="n">
        <v>132.8</v>
      </c>
      <c r="E17" s="13" t="n">
        <v>116.1</v>
      </c>
      <c r="F17" s="13" t="n">
        <v>0</v>
      </c>
      <c r="G17" s="22" t="n">
        <v>157.6</v>
      </c>
      <c r="H17" s="23" t="n">
        <v>0.2005</v>
      </c>
      <c r="I17" s="3" t="inlineStr">
        <is>
          <t>Excess / Wet Year (&gt; +20%)</t>
        </is>
      </c>
    </row>
    <row r="18" ht="20" customHeight="1">
      <c r="A18" s="10" t="n">
        <v>2007</v>
      </c>
      <c r="B18" s="5" t="n">
        <v>945</v>
      </c>
      <c r="C18" s="5" t="n">
        <v>868.3</v>
      </c>
      <c r="D18" s="5" t="n">
        <v>49.9</v>
      </c>
      <c r="E18" s="5" t="n">
        <v>26.8</v>
      </c>
      <c r="F18" s="5" t="n">
        <v>0</v>
      </c>
      <c r="G18" s="20" t="n">
        <v>158.9</v>
      </c>
      <c r="H18" s="21" t="n">
        <v>0.2021</v>
      </c>
      <c r="I18" s="2" t="inlineStr">
        <is>
          <t>Excess / Wet Year (&gt; +20%)</t>
        </is>
      </c>
    </row>
    <row r="19" ht="20" customHeight="1">
      <c r="A19" s="9" t="n">
        <v>2008</v>
      </c>
      <c r="B19" s="13" t="n">
        <v>672.7</v>
      </c>
      <c r="C19" s="13" t="n">
        <v>558.3</v>
      </c>
      <c r="D19" s="13" t="n">
        <v>80.40000000000001</v>
      </c>
      <c r="E19" s="13" t="n">
        <v>34.1</v>
      </c>
      <c r="F19" s="13" t="n">
        <v>0</v>
      </c>
      <c r="G19" s="22" t="n">
        <v>-113.4</v>
      </c>
      <c r="H19" s="23" t="n">
        <v>-0.1443</v>
      </c>
      <c r="I19" s="3" t="inlineStr">
        <is>
          <t>Normal Rainfall Year (±20%)</t>
        </is>
      </c>
    </row>
    <row r="20" ht="20" customHeight="1">
      <c r="A20" s="10" t="n">
        <v>2009</v>
      </c>
      <c r="B20" s="5" t="n">
        <v>773.4</v>
      </c>
      <c r="C20" s="5" t="n">
        <v>584.6</v>
      </c>
      <c r="D20" s="5" t="n">
        <v>131.9</v>
      </c>
      <c r="E20" s="5" t="n">
        <v>56.9</v>
      </c>
      <c r="F20" s="5" t="n">
        <v>0</v>
      </c>
      <c r="G20" s="20" t="n">
        <v>-12.7</v>
      </c>
      <c r="H20" s="21" t="n">
        <v>-0.0162</v>
      </c>
      <c r="I20" s="2" t="inlineStr">
        <is>
          <t>Normal Rainfall Year (±20%)</t>
        </is>
      </c>
    </row>
    <row r="21" ht="20" customHeight="1">
      <c r="A21" s="9" t="n">
        <v>2010</v>
      </c>
      <c r="B21" s="13" t="n">
        <v>1083.9</v>
      </c>
      <c r="C21" s="13" t="n">
        <v>872.9</v>
      </c>
      <c r="D21" s="13" t="n">
        <v>159.9</v>
      </c>
      <c r="E21" s="13" t="n">
        <v>48.7</v>
      </c>
      <c r="F21" s="13" t="n">
        <v>2.5</v>
      </c>
      <c r="G21" s="22" t="n">
        <v>297.8</v>
      </c>
      <c r="H21" s="23" t="n">
        <v>0.3788</v>
      </c>
      <c r="I21" s="3" t="inlineStr">
        <is>
          <t>Excess / Wet Year (&gt; +20%)</t>
        </is>
      </c>
    </row>
    <row r="22" ht="20" customHeight="1">
      <c r="A22" s="10" t="n">
        <v>2011</v>
      </c>
      <c r="B22" s="5" t="n">
        <v>696.7</v>
      </c>
      <c r="C22" s="5" t="n">
        <v>537.5</v>
      </c>
      <c r="D22" s="5" t="n">
        <v>94.2</v>
      </c>
      <c r="E22" s="5" t="n">
        <v>64.90000000000001</v>
      </c>
      <c r="F22" s="5" t="n">
        <v>0.1</v>
      </c>
      <c r="G22" s="20" t="n">
        <v>-89.40000000000001</v>
      </c>
      <c r="H22" s="21" t="n">
        <v>-0.1137</v>
      </c>
      <c r="I22" s="2" t="inlineStr">
        <is>
          <t>Normal Rainfall Year (±20%)</t>
        </is>
      </c>
    </row>
    <row r="23" ht="20" customHeight="1">
      <c r="A23" s="9" t="n">
        <v>2012</v>
      </c>
      <c r="B23" s="13" t="n">
        <v>579.6</v>
      </c>
      <c r="C23" s="13" t="n">
        <v>416.6</v>
      </c>
      <c r="D23" s="13" t="n">
        <v>121.8</v>
      </c>
      <c r="E23" s="13" t="n">
        <v>41.2</v>
      </c>
      <c r="F23" s="13" t="n">
        <v>0</v>
      </c>
      <c r="G23" s="22" t="n">
        <v>-206.5</v>
      </c>
      <c r="H23" s="23" t="n">
        <v>-0.2627</v>
      </c>
      <c r="I23" s="3" t="inlineStr">
        <is>
          <t>Deficient / Drought Year (&lt; -20%)</t>
        </is>
      </c>
    </row>
    <row r="24" ht="20" customHeight="1">
      <c r="A24" s="10" t="n">
        <v>2013</v>
      </c>
      <c r="B24" s="5" t="n">
        <v>809.2</v>
      </c>
      <c r="C24" s="5" t="n">
        <v>665.7</v>
      </c>
      <c r="D24" s="5" t="n">
        <v>94</v>
      </c>
      <c r="E24" s="5" t="n">
        <v>49.4</v>
      </c>
      <c r="F24" s="5" t="n">
        <v>0.1</v>
      </c>
      <c r="G24" s="20" t="n">
        <v>23.1</v>
      </c>
      <c r="H24" s="21" t="n">
        <v>0.0294</v>
      </c>
      <c r="I24" s="2" t="inlineStr">
        <is>
          <t>Normal Rainfall Year (±20%)</t>
        </is>
      </c>
    </row>
    <row r="25" ht="20" customHeight="1">
      <c r="A25" s="9" t="n">
        <v>2014</v>
      </c>
      <c r="B25" s="13" t="n">
        <v>688.8</v>
      </c>
      <c r="C25" s="13" t="n">
        <v>552.6</v>
      </c>
      <c r="D25" s="13" t="n">
        <v>69.3</v>
      </c>
      <c r="E25" s="13" t="n">
        <v>65.8</v>
      </c>
      <c r="F25" s="13" t="n">
        <v>1.1</v>
      </c>
      <c r="G25" s="22" t="n">
        <v>-97.3</v>
      </c>
      <c r="H25" s="23" t="n">
        <v>-0.1238</v>
      </c>
      <c r="I25" s="3" t="inlineStr">
        <is>
          <t>Normal Rainfall Year (±20%)</t>
        </is>
      </c>
    </row>
    <row r="26" ht="20" customHeight="1">
      <c r="A26" s="10" t="n">
        <v>2015</v>
      </c>
      <c r="B26" s="5" t="n">
        <v>560.9</v>
      </c>
      <c r="C26" s="5" t="n">
        <v>411.6</v>
      </c>
      <c r="D26" s="5" t="n">
        <v>81.90000000000001</v>
      </c>
      <c r="E26" s="5" t="n">
        <v>67.3</v>
      </c>
      <c r="F26" s="5" t="n">
        <v>0.1</v>
      </c>
      <c r="G26" s="20" t="n">
        <v>-225.2</v>
      </c>
      <c r="H26" s="21" t="n">
        <v>-0.2865</v>
      </c>
      <c r="I26" s="2" t="inlineStr">
        <is>
          <t>Deficient / Drought Year (&lt; -20%)</t>
        </is>
      </c>
    </row>
    <row r="27" ht="20" customHeight="1">
      <c r="A27" s="9" t="n">
        <v>2016</v>
      </c>
      <c r="B27" s="13" t="n">
        <v>834.3</v>
      </c>
      <c r="C27" s="13" t="n">
        <v>728.1</v>
      </c>
      <c r="D27" s="13" t="n">
        <v>58.8</v>
      </c>
      <c r="E27" s="13" t="n">
        <v>45.5</v>
      </c>
      <c r="F27" s="13" t="n">
        <v>1.9</v>
      </c>
      <c r="G27" s="22" t="n">
        <v>48.2</v>
      </c>
      <c r="H27" s="23" t="n">
        <v>0.0613</v>
      </c>
      <c r="I27" s="3" t="inlineStr">
        <is>
          <t>Normal Rainfall Year (±20%)</t>
        </is>
      </c>
    </row>
    <row r="28" ht="20" customHeight="1">
      <c r="A28" s="10" t="n">
        <v>2017</v>
      </c>
      <c r="B28" s="5" t="n">
        <v>900.2</v>
      </c>
      <c r="C28" s="5" t="n">
        <v>692.1</v>
      </c>
      <c r="D28" s="5" t="n">
        <v>181.8</v>
      </c>
      <c r="E28" s="5" t="n">
        <v>26.3</v>
      </c>
      <c r="F28" s="5" t="n">
        <v>0.1</v>
      </c>
      <c r="G28" s="20" t="n">
        <v>114.1</v>
      </c>
      <c r="H28" s="21" t="n">
        <v>0.1451</v>
      </c>
      <c r="I28" s="2" t="inlineStr">
        <is>
          <t>Normal Rainfall Year (±20%)</t>
        </is>
      </c>
    </row>
    <row r="29" ht="20" customHeight="1">
      <c r="A29" s="9" t="n">
        <v>2018</v>
      </c>
      <c r="B29" s="13" t="n">
        <v>644.4</v>
      </c>
      <c r="C29" s="13" t="n">
        <v>525.9</v>
      </c>
      <c r="D29" s="13" t="n">
        <v>56</v>
      </c>
      <c r="E29" s="13" t="n">
        <v>58.5</v>
      </c>
      <c r="F29" s="13" t="n">
        <v>4.1</v>
      </c>
      <c r="G29" s="22" t="n">
        <v>-141.7</v>
      </c>
      <c r="H29" s="23" t="n">
        <v>-0.1803</v>
      </c>
      <c r="I29" s="3" t="inlineStr">
        <is>
          <t>Normal Rainfall Year (±20%)</t>
        </is>
      </c>
    </row>
    <row r="30" ht="20" customHeight="1">
      <c r="A30" s="10" t="n">
        <v>2019</v>
      </c>
      <c r="B30" s="5" t="n">
        <v>881.9</v>
      </c>
      <c r="C30" s="5" t="n">
        <v>608.9</v>
      </c>
      <c r="D30" s="5" t="n">
        <v>236.3</v>
      </c>
      <c r="E30" s="5" t="n">
        <v>36.6</v>
      </c>
      <c r="F30" s="5" t="n">
        <v>0.1</v>
      </c>
      <c r="G30" s="20" t="n">
        <v>95.8</v>
      </c>
      <c r="H30" s="21" t="n">
        <v>0.1219</v>
      </c>
      <c r="I30" s="2" t="inlineStr">
        <is>
          <t>Normal Rainfall Year (±20%)</t>
        </is>
      </c>
    </row>
    <row r="31" ht="20" customHeight="1">
      <c r="A31" s="9" t="n">
        <v>2020</v>
      </c>
      <c r="B31" s="13" t="n">
        <v>1110.4</v>
      </c>
      <c r="C31" s="13" t="n">
        <v>832.3</v>
      </c>
      <c r="D31" s="13" t="n">
        <v>222.4</v>
      </c>
      <c r="E31" s="13" t="n">
        <v>55.5</v>
      </c>
      <c r="F31" s="13" t="n">
        <v>0.1</v>
      </c>
      <c r="G31" s="22" t="n">
        <v>324.3</v>
      </c>
      <c r="H31" s="23" t="n">
        <v>0.4125</v>
      </c>
      <c r="I31" s="3" t="inlineStr">
        <is>
          <t>Excess / Wet Year (&gt; +20%)</t>
        </is>
      </c>
    </row>
    <row r="32" ht="20" customHeight="1">
      <c r="A32" s="10" t="n">
        <v>2021</v>
      </c>
      <c r="B32" s="5" t="n">
        <v>981.4</v>
      </c>
      <c r="C32" s="5" t="n">
        <v>739.9</v>
      </c>
      <c r="D32" s="5" t="n">
        <v>121.9</v>
      </c>
      <c r="E32" s="5" t="n">
        <v>119.4</v>
      </c>
      <c r="F32" s="5" t="n">
        <v>0.1</v>
      </c>
      <c r="G32" s="20" t="n">
        <v>195.3</v>
      </c>
      <c r="H32" s="21" t="n">
        <v>0.2484</v>
      </c>
      <c r="I32" s="2" t="inlineStr">
        <is>
          <t>Excess / Wet Year (&gt; +20%)</t>
        </is>
      </c>
    </row>
    <row r="33" ht="20" customHeight="1">
      <c r="A33" s="9" t="n">
        <v>2022</v>
      </c>
      <c r="B33" s="13" t="n">
        <v>1094.6</v>
      </c>
      <c r="C33" s="13" t="n">
        <v>813.4</v>
      </c>
      <c r="D33" s="13" t="n">
        <v>195.7</v>
      </c>
      <c r="E33" s="13" t="n">
        <v>85.40000000000001</v>
      </c>
      <c r="F33" s="13" t="n">
        <v>0.1</v>
      </c>
      <c r="G33" s="22" t="n">
        <v>308.5</v>
      </c>
      <c r="H33" s="23" t="n">
        <v>0.3924</v>
      </c>
      <c r="I33" s="3" t="inlineStr">
        <is>
          <t>Excess / Wet Year (&gt; +20%)</t>
        </is>
      </c>
    </row>
    <row r="34" ht="20" customHeight="1">
      <c r="A34" s="10" t="n">
        <v>2023</v>
      </c>
      <c r="B34" s="5" t="n">
        <v>757.4</v>
      </c>
      <c r="C34" s="5" t="n">
        <v>600.9</v>
      </c>
      <c r="D34" s="5" t="n">
        <v>80.3</v>
      </c>
      <c r="E34" s="5" t="n">
        <v>76.09999999999999</v>
      </c>
      <c r="F34" s="5" t="n">
        <v>0.1</v>
      </c>
      <c r="G34" s="20" t="n">
        <v>-28.7</v>
      </c>
      <c r="H34" s="21" t="n">
        <v>-0.0365</v>
      </c>
      <c r="I34" s="2" t="inlineStr">
        <is>
          <t>Normal Rainfall Year (±20%)</t>
        </is>
      </c>
    </row>
    <row r="35" ht="20" customHeight="1">
      <c r="A35" s="9" t="n">
        <v>2024</v>
      </c>
      <c r="B35" s="13" t="n">
        <v>952.2</v>
      </c>
      <c r="C35" s="13" t="n">
        <v>774.9</v>
      </c>
      <c r="D35" s="13" t="n">
        <v>108.7</v>
      </c>
      <c r="E35" s="13" t="n">
        <v>68.40000000000001</v>
      </c>
      <c r="F35" s="13" t="n">
        <v>0.1</v>
      </c>
      <c r="G35" s="22" t="n">
        <v>166.1</v>
      </c>
      <c r="H35" s="23" t="n">
        <v>0.2113</v>
      </c>
      <c r="I35" s="3" t="inlineStr">
        <is>
          <t>Excess / Wet Year (&gt; +20%)</t>
        </is>
      </c>
    </row>
    <row r="36" ht="20" customHeight="1">
      <c r="A36" s="14" t="inlineStr">
        <is>
          <t>34-YR MEAN</t>
        </is>
      </c>
      <c r="B36" s="15">
        <f>AVERAGE(B2:B35)</f>
        <v/>
      </c>
      <c r="C36" s="15">
        <f>AVERAGE(C2:C35)</f>
        <v/>
      </c>
      <c r="D36" s="15">
        <f>AVERAGE(D2:D35)</f>
        <v/>
      </c>
      <c r="E36" s="15">
        <f>AVERAGE(E2:E35)</f>
        <v/>
      </c>
      <c r="F36" s="15">
        <f>AVERAGE(F2:F35)</f>
        <v/>
      </c>
      <c r="G36" s="24" t="n">
        <v>0</v>
      </c>
      <c r="H36" s="25" t="n">
        <v>0</v>
      </c>
      <c r="I36" s="14" t="inlineStr">
        <is>
          <t>Lohara Baseline Mean: 786.1 mm (CV = 23.4%)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5" customWidth="1" min="3" max="3"/>
    <col width="19" customWidth="1" min="4" max="4"/>
    <col width="23" customWidth="1" min="5" max="5"/>
    <col width="48" customWidth="1" min="6" max="6"/>
    <col width="63" customWidth="1" min="7" max="7"/>
  </cols>
  <sheetData>
    <row r="1" ht="28" customHeight="1">
      <c r="A1" s="1" t="inlineStr">
        <is>
          <t>Unit Code</t>
        </is>
      </c>
      <c r="B1" s="1" t="inlineStr">
        <is>
          <t>Geomorphic Landform Description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of Lohara (%)</t>
        </is>
      </c>
      <c r="F1" s="1" t="inlineStr">
        <is>
          <t>Infiltration &amp; Ground Water Potential</t>
        </is>
      </c>
      <c r="G1" s="1" t="inlineStr">
        <is>
          <t>Recommended Recharge Structure</t>
        </is>
      </c>
    </row>
    <row r="2" ht="20" customHeight="1">
      <c r="A2" s="2" t="inlineStr">
        <is>
          <t>GM-01</t>
        </is>
      </c>
      <c r="B2" s="2" t="inlineStr">
        <is>
          <t>Plateau Top (Flat Basalt Tableland)</t>
        </is>
      </c>
      <c r="C2" s="12" t="n">
        <v>308.04</v>
      </c>
      <c r="D2" s="5" t="n">
        <v>30804</v>
      </c>
      <c r="E2" s="11" t="n">
        <v>0.5671</v>
      </c>
      <c r="F2" s="2" t="inlineStr">
        <is>
          <t>Moderate to Low | Sheet runoff</t>
        </is>
      </c>
      <c r="G2" s="2" t="inlineStr">
        <is>
          <t>Continuous Contour Trenches (CCT), Farm Ponds</t>
        </is>
      </c>
    </row>
    <row r="3" ht="20" customHeight="1">
      <c r="A3" s="3" t="inlineStr">
        <is>
          <t>GM-02</t>
        </is>
      </c>
      <c r="B3" s="3" t="inlineStr">
        <is>
          <t>Weathered Pediplain / Valley Flanks</t>
        </is>
      </c>
      <c r="C3" s="4" t="n">
        <v>144.27</v>
      </c>
      <c r="D3" s="13" t="n">
        <v>14427</v>
      </c>
      <c r="E3" s="6" t="n">
        <v>0.2656</v>
      </c>
      <c r="F3" s="3" t="inlineStr">
        <is>
          <t>Moderate to Good | Favorable shallow aquifer</t>
        </is>
      </c>
      <c r="G3" s="3" t="inlineStr">
        <is>
          <t>Percolation Tanks (PT), Check Dams on 2nd-3rd order streams</t>
        </is>
      </c>
    </row>
    <row r="4" ht="20" customHeight="1">
      <c r="A4" s="2" t="inlineStr">
        <is>
          <t>GM-03</t>
        </is>
      </c>
      <c r="B4" s="2" t="inlineStr">
        <is>
          <t>Dissected Plateau / Escarpment Slopes</t>
        </is>
      </c>
      <c r="C4" s="12" t="n">
        <v>32.63</v>
      </c>
      <c r="D4" s="5" t="n">
        <v>3263</v>
      </c>
      <c r="E4" s="11" t="n">
        <v>0.0601</v>
      </c>
      <c r="F4" s="2" t="inlineStr">
        <is>
          <t>Low | High velocity runoff, fracture zones</t>
        </is>
      </c>
      <c r="G4" s="2" t="inlineStr">
        <is>
          <t>Loose Boulder Checks (LBC), Gully Plugs, Afforestation</t>
        </is>
      </c>
    </row>
    <row r="5" ht="20" customHeight="1">
      <c r="A5" s="3" t="inlineStr">
        <is>
          <t>GM-04</t>
        </is>
      </c>
      <c r="B5" s="3" t="inlineStr">
        <is>
          <t>Valley Fill / Alluvial Recharge Corridors</t>
        </is>
      </c>
      <c r="C5" s="4" t="n">
        <v>40.26</v>
      </c>
      <c r="D5" s="13" t="n">
        <v>4026</v>
      </c>
      <c r="E5" s="6" t="n">
        <v>0.0741</v>
      </c>
      <c r="F5" s="3" t="inlineStr">
        <is>
          <t>Very Good to Excellent | Maximum yield</t>
        </is>
      </c>
      <c r="G5" s="3" t="inlineStr">
        <is>
          <t>Subsurface Dykes (SSD), Recharge Shafts, Infiltration Wells</t>
        </is>
      </c>
    </row>
    <row r="6" ht="20" customHeight="1">
      <c r="A6" s="2" t="inlineStr">
        <is>
          <t>GM-05</t>
        </is>
      </c>
      <c r="B6" s="2" t="inlineStr">
        <is>
          <t>Surface Waterbodies &amp; Inundation Beds</t>
        </is>
      </c>
      <c r="C6" s="12" t="n">
        <v>18</v>
      </c>
      <c r="D6" s="5" t="n">
        <v>1800</v>
      </c>
      <c r="E6" s="11" t="n">
        <v>0.0331</v>
      </c>
      <c r="F6" s="2" t="inlineStr">
        <is>
          <t>Perennial to seasonal water storage</t>
        </is>
      </c>
      <c r="G6" s="2" t="inlineStr">
        <is>
          <t>Desiltation of tanks, inlet sediment traps</t>
        </is>
      </c>
    </row>
    <row r="7" ht="20" customHeight="1">
      <c r="A7" s="14" t="inlineStr">
        <is>
          <t>TOTAL</t>
        </is>
      </c>
      <c r="B7" s="14" t="inlineStr">
        <is>
          <t>Lohara Geomorphic Spectrum</t>
        </is>
      </c>
      <c r="C7" s="16">
        <f>SUM(C2:C6)</f>
        <v/>
      </c>
      <c r="D7" s="15">
        <f>SUM(D2:D6)</f>
        <v/>
      </c>
      <c r="E7" s="17" t="n">
        <v>1</v>
      </c>
      <c r="F7" s="14" t="inlineStr">
        <is>
          <t>Comprehensive Hydrogeomorphic Regime</t>
        </is>
      </c>
      <c r="G7" s="14" t="inlineStr">
        <is>
          <t>Targeted Artificial Recharge Investment Plan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35" customWidth="1" min="3" max="3"/>
    <col width="15" customWidth="1" min="4" max="4"/>
    <col width="24" customWidth="1" min="5" max="5"/>
    <col width="23" customWidth="1" min="6" max="6"/>
    <col width="57" customWidth="1" min="7" max="7"/>
  </cols>
  <sheetData>
    <row r="1" ht="28" customHeight="1">
      <c r="A1" s="1" t="inlineStr">
        <is>
          <t>Hierarchy Level</t>
        </is>
      </c>
      <c r="B1" s="1" t="inlineStr">
        <is>
          <t>Sheet Index Code</t>
        </is>
      </c>
      <c r="C1" s="1" t="inlineStr">
        <is>
          <t>Survey of India Topo Quad Name</t>
        </is>
      </c>
      <c r="D1" s="1" t="inlineStr">
        <is>
          <t>Parent Quad</t>
        </is>
      </c>
      <c r="E1" s="1" t="inlineStr">
        <is>
          <t>Area in Lohara (km²)</t>
        </is>
      </c>
      <c r="F1" s="1" t="inlineStr">
        <is>
          <t>Share of Lohara (%)</t>
        </is>
      </c>
      <c r="G1" s="1" t="inlineStr">
        <is>
          <t>Key Villages / Settlements Covered</t>
        </is>
      </c>
    </row>
    <row r="2" ht="20" customHeight="1">
      <c r="A2" s="2" t="inlineStr">
        <is>
          <t>1:250k Quad</t>
        </is>
      </c>
      <c r="B2" s="2" t="inlineStr">
        <is>
          <t>56C</t>
        </is>
      </c>
      <c r="C2" s="2" t="inlineStr">
        <is>
          <t>Sholapur / Osmanabad Quadrangle</t>
        </is>
      </c>
      <c r="D2" s="2" t="inlineStr">
        <is>
          <t>56C</t>
        </is>
      </c>
      <c r="E2" s="12" t="n">
        <v>364.3</v>
      </c>
      <c r="F2" s="11" t="n">
        <v>0.6707</v>
      </c>
      <c r="G2" s="2" t="inlineStr">
        <is>
          <t>Mangrul, Javalga, Sindgaon, Kunsawali, Bolegaon</t>
        </is>
      </c>
    </row>
    <row r="3" ht="20" customHeight="1">
      <c r="A3" s="3" t="inlineStr">
        <is>
          <t>1:250k Quad</t>
        </is>
      </c>
      <c r="B3" s="3" t="inlineStr">
        <is>
          <t>56B</t>
        </is>
      </c>
      <c r="C3" s="3" t="inlineStr">
        <is>
          <t>Bidar / Latur Quadrangle</t>
        </is>
      </c>
      <c r="D3" s="3" t="inlineStr">
        <is>
          <t>56B</t>
        </is>
      </c>
      <c r="E3" s="4" t="n">
        <v>178.91</v>
      </c>
      <c r="F3" s="6" t="n">
        <v>0.3293</v>
      </c>
      <c r="G3" s="3" t="inlineStr">
        <is>
          <t>Lohara Taluka HQ, Wadgaon Laki, Karla, Toramba, Mardi</t>
        </is>
      </c>
    </row>
    <row r="4" ht="20" customHeight="1">
      <c r="A4" s="2" t="inlineStr">
        <is>
          <t>1:50k Tile</t>
        </is>
      </c>
      <c r="B4" s="2" t="inlineStr">
        <is>
          <t>56C/2</t>
        </is>
      </c>
      <c r="C4" s="2" t="inlineStr">
        <is>
          <t>SOI Toposheet 56C/2</t>
        </is>
      </c>
      <c r="D4" s="2" t="inlineStr">
        <is>
          <t>56C</t>
        </is>
      </c>
      <c r="E4" s="12" t="n">
        <v>245.24</v>
      </c>
      <c r="F4" s="11" t="n">
        <v>0.4515</v>
      </c>
      <c r="G4" s="2" t="inlineStr">
        <is>
          <t>Mangrul, Chikundra, Horti, Salgara, Wadacha Tanda</t>
        </is>
      </c>
    </row>
    <row r="5" ht="20" customHeight="1">
      <c r="A5" s="3" t="inlineStr">
        <is>
          <t>1:50k Tile</t>
        </is>
      </c>
      <c r="B5" s="3" t="inlineStr">
        <is>
          <t>56B/14</t>
        </is>
      </c>
      <c r="C5" s="3" t="inlineStr">
        <is>
          <t>SOI Toposheet 56B/14</t>
        </is>
      </c>
      <c r="D5" s="3" t="inlineStr">
        <is>
          <t>56B</t>
        </is>
      </c>
      <c r="E5" s="4" t="n">
        <v>99.88</v>
      </c>
      <c r="F5" s="6" t="n">
        <v>0.1839</v>
      </c>
      <c r="G5" s="3" t="inlineStr">
        <is>
          <t>Lohara Taluka HQ, Wadgaon Laki, Karla, Tirth</t>
        </is>
      </c>
    </row>
    <row r="6" ht="20" customHeight="1">
      <c r="A6" s="2" t="inlineStr">
        <is>
          <t>1:50k Tile</t>
        </is>
      </c>
      <c r="B6" s="2" t="inlineStr">
        <is>
          <t>56C/6</t>
        </is>
      </c>
      <c r="C6" s="2" t="inlineStr">
        <is>
          <t>SOI Toposheet 56C/6</t>
        </is>
      </c>
      <c r="D6" s="2" t="inlineStr">
        <is>
          <t>56C</t>
        </is>
      </c>
      <c r="E6" s="12" t="n">
        <v>63.2</v>
      </c>
      <c r="F6" s="11" t="n">
        <v>0.1163</v>
      </c>
      <c r="G6" s="2" t="inlineStr">
        <is>
          <t>Javalga, Sindgaon, Kunsawali, Bolegaon</t>
        </is>
      </c>
    </row>
    <row r="7" ht="20" customHeight="1">
      <c r="A7" s="3" t="inlineStr">
        <is>
          <t>1:50k Tile</t>
        </is>
      </c>
      <c r="B7" s="3" t="inlineStr">
        <is>
          <t>56B/15</t>
        </is>
      </c>
      <c r="C7" s="3" t="inlineStr">
        <is>
          <t>SOI Toposheet 56B/15</t>
        </is>
      </c>
      <c r="D7" s="3" t="inlineStr">
        <is>
          <t>56B</t>
        </is>
      </c>
      <c r="E7" s="4" t="n">
        <v>24.35</v>
      </c>
      <c r="F7" s="6" t="n">
        <v>0.0448</v>
      </c>
      <c r="G7" s="3" t="inlineStr">
        <is>
          <t>Lohara North-East fringe (Toramba, Mardi)</t>
        </is>
      </c>
    </row>
    <row r="8" ht="20" customHeight="1">
      <c r="A8" s="2" t="inlineStr">
        <is>
          <t>1:50k Tile</t>
        </is>
      </c>
      <c r="B8" s="2" t="inlineStr">
        <is>
          <t>56C/3</t>
        </is>
      </c>
      <c r="C8" s="2" t="inlineStr">
        <is>
          <t>SOI Toposheet 56C/3</t>
        </is>
      </c>
      <c r="D8" s="2" t="inlineStr">
        <is>
          <t>56C</t>
        </is>
      </c>
      <c r="E8" s="12" t="n">
        <v>22.45</v>
      </c>
      <c r="F8" s="11" t="n">
        <v>0.0413</v>
      </c>
      <c r="G8" s="2" t="inlineStr">
        <is>
          <t>Lohara Eastern fringe along Omerga boundary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4" customWidth="1" min="4" max="4"/>
    <col width="12" customWidth="1" min="5" max="5"/>
    <col width="62" customWidth="1" min="6" max="6"/>
    <col width="21" customWidth="1" min="7" max="7"/>
    <col width="24" customWidth="1" min="8" max="8"/>
    <col width="29" customWidth="1" min="9" max="9"/>
    <col width="25" customWidth="1" min="10" max="10"/>
    <col width="27" customWidth="1" min="11" max="11"/>
    <col width="27" customWidth="1" min="12" max="12"/>
  </cols>
  <sheetData>
    <row r="1" ht="28" customHeight="1">
      <c r="A1" s="1" t="inlineStr">
        <is>
          <t>Serial No</t>
        </is>
      </c>
      <c r="B1" s="1" t="inlineStr">
        <is>
          <t>Well ID</t>
        </is>
      </c>
      <c r="C1" s="1" t="inlineStr">
        <is>
          <t>Location</t>
        </is>
      </c>
      <c r="D1" s="1" t="inlineStr">
        <is>
          <t>Taluka</t>
        </is>
      </c>
      <c r="E1" s="1" t="inlineStr">
        <is>
          <t>District</t>
        </is>
      </c>
      <c r="F1" s="1" t="inlineStr">
        <is>
          <t>Major Lithology</t>
        </is>
      </c>
      <c r="G1" s="1" t="inlineStr">
        <is>
          <t>Depth Drilled (m)</t>
        </is>
      </c>
      <c r="H1" s="1" t="inlineStr">
        <is>
          <t>Bedrock Depth (mbgl)</t>
        </is>
      </c>
      <c r="I1" s="1" t="inlineStr">
        <is>
          <t>Static Water Level (mbgl)</t>
        </is>
      </c>
      <c r="J1" s="1" t="inlineStr">
        <is>
          <t>Discharge Yield (lps)</t>
        </is>
      </c>
      <c r="K1" s="1" t="inlineStr">
        <is>
          <t>Transmissivity (m²/day)</t>
        </is>
      </c>
      <c r="L1" s="1" t="inlineStr">
        <is>
          <t>Distance to Lohara (km)</t>
        </is>
      </c>
    </row>
    <row r="2" ht="20" customHeight="1">
      <c r="A2" s="10" t="n">
        <v>1</v>
      </c>
      <c r="B2" s="2" t="inlineStr">
        <is>
          <t>nan</t>
        </is>
      </c>
      <c r="C2" s="2" t="inlineStr">
        <is>
          <t>Ekambi</t>
        </is>
      </c>
      <c r="D2" s="2" t="inlineStr">
        <is>
          <t>Ausa</t>
        </is>
      </c>
      <c r="E2" s="2" t="inlineStr">
        <is>
          <t>Latur</t>
        </is>
      </c>
      <c r="F2" s="2" t="inlineStr">
        <is>
          <t>Massive Fractured Basalt</t>
        </is>
      </c>
      <c r="G2" s="5" t="n">
        <v>200</v>
      </c>
      <c r="H2" s="2" t="inlineStr">
        <is>
          <t>N/A</t>
        </is>
      </c>
      <c r="I2" s="5" t="n">
        <v>130</v>
      </c>
      <c r="J2" s="2" t="inlineStr">
        <is>
          <t>N/A</t>
        </is>
      </c>
      <c r="K2" s="2" t="inlineStr">
        <is>
          <t>N/A</t>
        </is>
      </c>
      <c r="L2" s="5" t="n">
        <v>6.3</v>
      </c>
    </row>
    <row r="3" ht="20" customHeight="1">
      <c r="A3" s="9" t="n">
        <v>2</v>
      </c>
      <c r="B3" s="3" t="inlineStr">
        <is>
          <t>nan</t>
        </is>
      </c>
      <c r="C3" s="3" t="inlineStr">
        <is>
          <t>Kokalgaon</t>
        </is>
      </c>
      <c r="D3" s="3" t="inlineStr">
        <is>
          <t>Nilanga</t>
        </is>
      </c>
      <c r="E3" s="3" t="inlineStr">
        <is>
          <t>Latur</t>
        </is>
      </c>
      <c r="F3" s="3" t="inlineStr">
        <is>
          <t>Massive Fractured Basalt, Vesicular Basalt</t>
        </is>
      </c>
      <c r="G3" s="13" t="n">
        <v>178.2</v>
      </c>
      <c r="H3" s="3" t="inlineStr">
        <is>
          <t>N/A</t>
        </is>
      </c>
      <c r="I3" s="13" t="n">
        <v>90</v>
      </c>
      <c r="J3" s="13" t="n">
        <v>8.199999999999999</v>
      </c>
      <c r="K3" s="3" t="inlineStr">
        <is>
          <t>N/A</t>
        </is>
      </c>
      <c r="L3" s="13" t="n">
        <v>8.4</v>
      </c>
    </row>
    <row r="4" ht="20" customHeight="1">
      <c r="A4" s="10" t="n">
        <v>3</v>
      </c>
      <c r="B4" s="2" t="inlineStr">
        <is>
          <t>nan</t>
        </is>
      </c>
      <c r="C4" s="2" t="inlineStr">
        <is>
          <t>Chincholi Son</t>
        </is>
      </c>
      <c r="D4" s="2" t="inlineStr">
        <is>
          <t>Ausa</t>
        </is>
      </c>
      <c r="E4" s="2" t="inlineStr">
        <is>
          <t>Latur</t>
        </is>
      </c>
      <c r="F4" s="2" t="inlineStr">
        <is>
          <t>Massive Fractured Basalt, Vesicular Fractured Basalt</t>
        </is>
      </c>
      <c r="G4" s="5" t="n">
        <v>209.2</v>
      </c>
      <c r="H4" s="2" t="inlineStr">
        <is>
          <t>N/A</t>
        </is>
      </c>
      <c r="I4" s="5" t="n">
        <v>104</v>
      </c>
      <c r="J4" s="5" t="n">
        <v>23</v>
      </c>
      <c r="K4" s="2" t="inlineStr">
        <is>
          <t>N/A</t>
        </is>
      </c>
      <c r="L4" s="5" t="n">
        <v>10.2</v>
      </c>
    </row>
    <row r="5" ht="20" customHeight="1">
      <c r="A5" s="9" t="n">
        <v>4</v>
      </c>
      <c r="B5" s="3" t="inlineStr">
        <is>
          <t>nan</t>
        </is>
      </c>
      <c r="C5" s="3" t="inlineStr">
        <is>
          <t>Masle Chaudhary Ew</t>
        </is>
      </c>
      <c r="D5" s="3" t="inlineStr">
        <is>
          <t>Mohol</t>
        </is>
      </c>
      <c r="E5" s="3" t="inlineStr">
        <is>
          <t>Solapur</t>
        </is>
      </c>
      <c r="F5" s="3" t="inlineStr">
        <is>
          <t>Fractured Vesicular Basalt</t>
        </is>
      </c>
      <c r="G5" s="13" t="n">
        <v>200</v>
      </c>
      <c r="H5" s="3" t="inlineStr">
        <is>
          <t>N/A</t>
        </is>
      </c>
      <c r="I5" s="13" t="n">
        <v>40</v>
      </c>
      <c r="J5" s="13" t="n">
        <v>5.94</v>
      </c>
      <c r="K5" s="3" t="inlineStr">
        <is>
          <t>N/A</t>
        </is>
      </c>
      <c r="L5" s="13" t="n">
        <v>12.2</v>
      </c>
    </row>
    <row r="6" ht="20" customHeight="1">
      <c r="A6" s="10" t="n">
        <v>5</v>
      </c>
      <c r="B6" s="2" t="inlineStr">
        <is>
          <t>nan</t>
        </is>
      </c>
      <c r="C6" s="2" t="inlineStr">
        <is>
          <t>Masle Chaudhary Ow</t>
        </is>
      </c>
      <c r="D6" s="2" t="inlineStr">
        <is>
          <t>Mohol</t>
        </is>
      </c>
      <c r="E6" s="2" t="inlineStr">
        <is>
          <t>Solapur</t>
        </is>
      </c>
      <c r="F6" s="2" t="inlineStr">
        <is>
          <t>Fractured Vesicular Basalt</t>
        </is>
      </c>
      <c r="G6" s="5" t="n">
        <v>100</v>
      </c>
      <c r="H6" s="2" t="inlineStr">
        <is>
          <t>N/A</t>
        </is>
      </c>
      <c r="I6" s="5" t="n">
        <v>59</v>
      </c>
      <c r="J6" s="5" t="n">
        <v>3.17</v>
      </c>
      <c r="K6" s="2" t="inlineStr">
        <is>
          <t>N/A</t>
        </is>
      </c>
      <c r="L6" s="5" t="n">
        <v>12.2</v>
      </c>
    </row>
    <row r="7" ht="20" customHeight="1">
      <c r="A7" s="9" t="n">
        <v>6</v>
      </c>
      <c r="B7" s="3" t="inlineStr">
        <is>
          <t>nan</t>
        </is>
      </c>
      <c r="C7" s="3" t="inlineStr">
        <is>
          <t>Pimpalwadi (Jeori)</t>
        </is>
      </c>
      <c r="D7" s="3" t="inlineStr">
        <is>
          <t>Nilanga</t>
        </is>
      </c>
      <c r="E7" s="3" t="inlineStr">
        <is>
          <t>Latur</t>
        </is>
      </c>
      <c r="F7" s="3" t="inlineStr">
        <is>
          <t>Esicular Basalt</t>
        </is>
      </c>
      <c r="G7" s="13" t="n">
        <v>202.6</v>
      </c>
      <c r="H7" s="3" t="inlineStr">
        <is>
          <t>N/A</t>
        </is>
      </c>
      <c r="I7" s="13" t="n">
        <v>175</v>
      </c>
      <c r="J7" s="13" t="n">
        <v>8.4</v>
      </c>
      <c r="K7" s="3" t="inlineStr">
        <is>
          <t>N/A</t>
        </is>
      </c>
      <c r="L7" s="13" t="n">
        <v>13</v>
      </c>
    </row>
    <row r="8" ht="20" customHeight="1">
      <c r="A8" s="10" t="n">
        <v>7</v>
      </c>
      <c r="B8" s="2" t="inlineStr">
        <is>
          <t>nan</t>
        </is>
      </c>
      <c r="C8" s="2" t="inlineStr">
        <is>
          <t>Solapur Imd</t>
        </is>
      </c>
      <c r="D8" s="2" t="inlineStr">
        <is>
          <t>N.Solapur</t>
        </is>
      </c>
      <c r="E8" s="2" t="inlineStr">
        <is>
          <t>Solapur</t>
        </is>
      </c>
      <c r="F8" s="2" t="inlineStr">
        <is>
          <t>Weathered Fractured Basalt</t>
        </is>
      </c>
      <c r="G8" s="5" t="n">
        <v>40</v>
      </c>
      <c r="H8" s="2" t="inlineStr">
        <is>
          <t>N/A</t>
        </is>
      </c>
      <c r="I8" s="5" t="n">
        <v>16.3</v>
      </c>
      <c r="J8" s="5" t="n">
        <v>0.04</v>
      </c>
      <c r="K8" s="2" t="inlineStr">
        <is>
          <t>N/A</t>
        </is>
      </c>
      <c r="L8" s="5" t="n">
        <v>14.1</v>
      </c>
    </row>
    <row r="9" ht="20" customHeight="1">
      <c r="A9" s="9" t="n">
        <v>8</v>
      </c>
      <c r="B9" s="3" t="inlineStr">
        <is>
          <t>nan</t>
        </is>
      </c>
      <c r="C9" s="3" t="inlineStr">
        <is>
          <t>Kasar Sirsi</t>
        </is>
      </c>
      <c r="D9" s="3" t="inlineStr">
        <is>
          <t>Nilanga</t>
        </is>
      </c>
      <c r="E9" s="3" t="inlineStr">
        <is>
          <t>Latur</t>
        </is>
      </c>
      <c r="F9" s="3" t="inlineStr">
        <is>
          <t>Massive Basalt</t>
        </is>
      </c>
      <c r="G9" s="13" t="n">
        <v>202.9</v>
      </c>
      <c r="H9" s="3" t="inlineStr">
        <is>
          <t>N/A</t>
        </is>
      </c>
      <c r="I9" s="13" t="n">
        <v>46</v>
      </c>
      <c r="J9" s="13" t="n">
        <v>8</v>
      </c>
      <c r="K9" s="3" t="inlineStr">
        <is>
          <t>N/A</t>
        </is>
      </c>
      <c r="L9" s="13" t="n">
        <v>21.4</v>
      </c>
    </row>
    <row r="10" ht="20" customHeight="1">
      <c r="A10" s="10" t="n">
        <v>9</v>
      </c>
      <c r="B10" s="2" t="inlineStr">
        <is>
          <t>nan</t>
        </is>
      </c>
      <c r="C10" s="2" t="inlineStr">
        <is>
          <t>Chincholi Sayakhan</t>
        </is>
      </c>
      <c r="D10" s="2" t="inlineStr">
        <is>
          <t>Nilanga</t>
        </is>
      </c>
      <c r="E10" s="2" t="inlineStr">
        <is>
          <t>Latur</t>
        </is>
      </c>
      <c r="F10" s="2" t="inlineStr">
        <is>
          <t>Vesicular Basalt, Fractured Massive Basalt</t>
        </is>
      </c>
      <c r="G10" s="5" t="n">
        <v>184</v>
      </c>
      <c r="H10" s="2" t="inlineStr">
        <is>
          <t>N/A</t>
        </is>
      </c>
      <c r="I10" s="5" t="n">
        <v>72</v>
      </c>
      <c r="J10" s="5" t="n">
        <v>4.43</v>
      </c>
      <c r="K10" s="2" t="inlineStr">
        <is>
          <t>N/A</t>
        </is>
      </c>
      <c r="L10" s="5" t="n">
        <v>22.6</v>
      </c>
    </row>
    <row r="11" ht="20" customHeight="1">
      <c r="A11" s="9" t="n">
        <v>10</v>
      </c>
      <c r="B11" s="3" t="inlineStr">
        <is>
          <t>nan</t>
        </is>
      </c>
      <c r="C11" s="3" t="inlineStr">
        <is>
          <t>Ansarwada</t>
        </is>
      </c>
      <c r="D11" s="3" t="inlineStr">
        <is>
          <t>Nilanga</t>
        </is>
      </c>
      <c r="E11" s="3" t="inlineStr">
        <is>
          <t>Latur</t>
        </is>
      </c>
      <c r="F11" s="3" t="inlineStr">
        <is>
          <t>Fractured Vesicular Massive Basalt</t>
        </is>
      </c>
      <c r="G11" s="13" t="n">
        <v>200</v>
      </c>
      <c r="H11" s="3" t="inlineStr">
        <is>
          <t>N/A</t>
        </is>
      </c>
      <c r="I11" s="13" t="n">
        <v>62.3</v>
      </c>
      <c r="J11" s="13" t="n">
        <v>0.14</v>
      </c>
      <c r="K11" s="3" t="inlineStr">
        <is>
          <t>N/A</t>
        </is>
      </c>
      <c r="L11" s="13" t="n">
        <v>25.7</v>
      </c>
    </row>
    <row r="12" ht="20" customHeight="1">
      <c r="A12" s="10" t="n">
        <v>11</v>
      </c>
      <c r="B12" s="2" t="inlineStr">
        <is>
          <t>nan</t>
        </is>
      </c>
      <c r="C12" s="2" t="inlineStr">
        <is>
          <t>Hattur</t>
        </is>
      </c>
      <c r="D12" s="2" t="inlineStr">
        <is>
          <t>S.Solapur</t>
        </is>
      </c>
      <c r="E12" s="2" t="inlineStr">
        <is>
          <t>Solapur</t>
        </is>
      </c>
      <c r="F12" s="2" t="inlineStr">
        <is>
          <t>Fractured Massive Basalt, Vesicular Basalt-Fractured</t>
        </is>
      </c>
      <c r="G12" s="5" t="n">
        <v>200</v>
      </c>
      <c r="H12" s="2" t="inlineStr">
        <is>
          <t>N/A</t>
        </is>
      </c>
      <c r="I12" s="5" t="n">
        <v>14.84</v>
      </c>
      <c r="J12" s="2" t="inlineStr">
        <is>
          <t>N/A</t>
        </is>
      </c>
      <c r="K12" s="2" t="inlineStr">
        <is>
          <t>N/A</t>
        </is>
      </c>
      <c r="L12" s="5" t="n">
        <v>25.8</v>
      </c>
    </row>
    <row r="13" ht="20" customHeight="1">
      <c r="A13" s="9" t="n">
        <v>12</v>
      </c>
      <c r="B13" s="3" t="inlineStr">
        <is>
          <t>nan</t>
        </is>
      </c>
      <c r="C13" s="3" t="inlineStr">
        <is>
          <t>Shivani Kotal</t>
        </is>
      </c>
      <c r="D13" s="3" t="inlineStr">
        <is>
          <t>Nilanga</t>
        </is>
      </c>
      <c r="E13" s="3" t="inlineStr">
        <is>
          <t>Latur</t>
        </is>
      </c>
      <c r="F13" s="3" t="inlineStr">
        <is>
          <t>Massive Fractured Basalt, Vesicular Basalt</t>
        </is>
      </c>
      <c r="G13" s="13" t="n">
        <v>203</v>
      </c>
      <c r="H13" s="3" t="inlineStr">
        <is>
          <t>N/A</t>
        </is>
      </c>
      <c r="I13" s="13" t="n">
        <v>16</v>
      </c>
      <c r="J13" s="13" t="n">
        <v>61</v>
      </c>
      <c r="K13" s="3" t="inlineStr">
        <is>
          <t>N/A</t>
        </is>
      </c>
      <c r="L13" s="13" t="n">
        <v>25.8</v>
      </c>
    </row>
    <row r="14" ht="20" customHeight="1">
      <c r="A14" s="10" t="n">
        <v>13</v>
      </c>
      <c r="B14" s="2" t="inlineStr">
        <is>
          <t>nan</t>
        </is>
      </c>
      <c r="C14" s="2" t="inlineStr">
        <is>
          <t>Pokhrapur</t>
        </is>
      </c>
      <c r="D14" s="2" t="inlineStr">
        <is>
          <t>Mohol</t>
        </is>
      </c>
      <c r="E14" s="2" t="inlineStr">
        <is>
          <t>Solapur</t>
        </is>
      </c>
      <c r="F14" s="2" t="inlineStr">
        <is>
          <t>Fractured Massive Basalt</t>
        </is>
      </c>
      <c r="G14" s="5" t="n">
        <v>200</v>
      </c>
      <c r="H14" s="2" t="inlineStr">
        <is>
          <t>N/A</t>
        </is>
      </c>
      <c r="I14" s="5" t="n">
        <v>50.2</v>
      </c>
      <c r="J14" s="5" t="n">
        <v>2.16</v>
      </c>
      <c r="K14" s="2" t="inlineStr">
        <is>
          <t>N/A</t>
        </is>
      </c>
      <c r="L14" s="5" t="n">
        <v>29.3</v>
      </c>
    </row>
    <row r="15" ht="20" customHeight="1">
      <c r="A15" s="9" t="n">
        <v>14</v>
      </c>
      <c r="B15" s="3" t="inlineStr">
        <is>
          <t>nan</t>
        </is>
      </c>
      <c r="C15" s="3" t="inlineStr">
        <is>
          <t>Niwali</t>
        </is>
      </c>
      <c r="D15" s="3" t="inlineStr">
        <is>
          <t>Latur</t>
        </is>
      </c>
      <c r="E15" s="3" t="inlineStr">
        <is>
          <t>Latur</t>
        </is>
      </c>
      <c r="F15" s="3" t="inlineStr">
        <is>
          <t>NA</t>
        </is>
      </c>
      <c r="G15" s="13" t="n">
        <v>200</v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13" t="n">
        <v>29.7</v>
      </c>
    </row>
    <row r="16" ht="20" customHeight="1">
      <c r="A16" s="10" t="n">
        <v>15</v>
      </c>
      <c r="B16" s="2" t="inlineStr">
        <is>
          <t>nan</t>
        </is>
      </c>
      <c r="C16" s="2" t="inlineStr">
        <is>
          <t>Gangapur</t>
        </is>
      </c>
      <c r="D16" s="2" t="inlineStr">
        <is>
          <t>Latur</t>
        </is>
      </c>
      <c r="E16" s="2" t="inlineStr">
        <is>
          <t>Latur</t>
        </is>
      </c>
      <c r="F16" s="2" t="inlineStr">
        <is>
          <t>Fractured Massive Basalt</t>
        </is>
      </c>
      <c r="G16" s="5" t="n">
        <v>200</v>
      </c>
      <c r="H16" s="2" t="inlineStr">
        <is>
          <t>N/A</t>
        </is>
      </c>
      <c r="I16" s="5" t="n">
        <v>110</v>
      </c>
      <c r="J16" s="5" t="n">
        <v>0.138</v>
      </c>
      <c r="K16" s="2" t="inlineStr">
        <is>
          <t>N/A</t>
        </is>
      </c>
      <c r="L16" s="5" t="n">
        <v>31.6</v>
      </c>
    </row>
    <row r="17" ht="20" customHeight="1">
      <c r="A17" s="9" t="n">
        <v>16</v>
      </c>
      <c r="B17" s="3" t="inlineStr">
        <is>
          <t>nan</t>
        </is>
      </c>
      <c r="C17" s="3" t="inlineStr">
        <is>
          <t>Nandgaon</t>
        </is>
      </c>
      <c r="D17" s="3" t="inlineStr">
        <is>
          <t>Ausa</t>
        </is>
      </c>
      <c r="E17" s="3" t="inlineStr">
        <is>
          <t>Latur</t>
        </is>
      </c>
      <c r="F17" s="3" t="inlineStr">
        <is>
          <t>Fractured Massive Basalt</t>
        </is>
      </c>
      <c r="G17" s="13" t="n">
        <v>184</v>
      </c>
      <c r="H17" s="3" t="inlineStr">
        <is>
          <t>N/A</t>
        </is>
      </c>
      <c r="I17" s="13" t="n">
        <v>102.15</v>
      </c>
      <c r="J17" s="13" t="n">
        <v>50</v>
      </c>
      <c r="K17" s="3" t="inlineStr">
        <is>
          <t>N/A</t>
        </is>
      </c>
      <c r="L17" s="13" t="n">
        <v>32.3</v>
      </c>
    </row>
    <row r="18" ht="20" customHeight="1">
      <c r="A18" s="10" t="n">
        <v>17</v>
      </c>
      <c r="B18" s="2" t="inlineStr">
        <is>
          <t>nan</t>
        </is>
      </c>
      <c r="C18" s="2" t="inlineStr">
        <is>
          <t>Arjunagi</t>
        </is>
      </c>
      <c r="D18" s="2" t="inlineStr">
        <is>
          <t>Afzalpur</t>
        </is>
      </c>
      <c r="E18" s="2" t="inlineStr">
        <is>
          <t>Gulbarga</t>
        </is>
      </c>
      <c r="F18" s="2" t="inlineStr">
        <is>
          <t>Basalt, Shale, Limestone</t>
        </is>
      </c>
      <c r="G18" s="5" t="n">
        <v>165</v>
      </c>
      <c r="H18" s="2" t="inlineStr">
        <is>
          <t>N/A</t>
        </is>
      </c>
      <c r="I18" s="5" t="n">
        <v>0.63</v>
      </c>
      <c r="J18" s="5" t="n">
        <v>0.4</v>
      </c>
      <c r="K18" s="2" t="inlineStr">
        <is>
          <t>N/A</t>
        </is>
      </c>
      <c r="L18" s="5" t="n">
        <v>32.4</v>
      </c>
    </row>
    <row r="19" ht="20" customHeight="1">
      <c r="A19" s="9" t="n">
        <v>18</v>
      </c>
      <c r="B19" s="3" t="inlineStr">
        <is>
          <t>nan</t>
        </is>
      </c>
      <c r="C19" s="3" t="inlineStr">
        <is>
          <t>Mamdapur</t>
        </is>
      </c>
      <c r="D19" s="3" t="inlineStr">
        <is>
          <t>Nilanga</t>
        </is>
      </c>
      <c r="E19" s="3" t="inlineStr">
        <is>
          <t>Latur</t>
        </is>
      </c>
      <c r="F19" s="3" t="inlineStr">
        <is>
          <t>Esicular Basalt</t>
        </is>
      </c>
      <c r="G19" s="13" t="n">
        <v>203</v>
      </c>
      <c r="H19" s="3" t="inlineStr">
        <is>
          <t>N/A</t>
        </is>
      </c>
      <c r="I19" s="3" t="inlineStr">
        <is>
          <t>N/A</t>
        </is>
      </c>
      <c r="J19" s="13" t="n">
        <v>2.64</v>
      </c>
      <c r="K19" s="3" t="inlineStr">
        <is>
          <t>N/A</t>
        </is>
      </c>
      <c r="L19" s="13" t="n">
        <v>34.3</v>
      </c>
    </row>
    <row r="20" ht="20" customHeight="1">
      <c r="A20" s="10" t="n">
        <v>19</v>
      </c>
      <c r="B20" s="2" t="inlineStr">
        <is>
          <t>nan</t>
        </is>
      </c>
      <c r="C20" s="2" t="inlineStr">
        <is>
          <t>Murud Ow</t>
        </is>
      </c>
      <c r="D20" s="2" t="inlineStr">
        <is>
          <t>Latur</t>
        </is>
      </c>
      <c r="E20" s="2" t="inlineStr">
        <is>
          <t>Latur</t>
        </is>
      </c>
      <c r="F20" s="2" t="inlineStr">
        <is>
          <t>Fractured Basalt, Vesicular Basalt</t>
        </is>
      </c>
      <c r="G20" s="5" t="n">
        <v>125</v>
      </c>
      <c r="H20" s="2" t="inlineStr">
        <is>
          <t>N/A</t>
        </is>
      </c>
      <c r="I20" s="5" t="n">
        <v>70</v>
      </c>
      <c r="J20" s="5" t="n">
        <v>3.169</v>
      </c>
      <c r="K20" s="2" t="inlineStr">
        <is>
          <t>N/A</t>
        </is>
      </c>
      <c r="L20" s="5" t="n">
        <v>34.5</v>
      </c>
    </row>
    <row r="21" ht="20" customHeight="1">
      <c r="A21" s="9" t="n">
        <v>20</v>
      </c>
      <c r="B21" s="3" t="inlineStr">
        <is>
          <t>nan</t>
        </is>
      </c>
      <c r="C21" s="3" t="inlineStr">
        <is>
          <t>Murud Ew</t>
        </is>
      </c>
      <c r="D21" s="3" t="inlineStr">
        <is>
          <t>Latur</t>
        </is>
      </c>
      <c r="E21" s="3" t="inlineStr">
        <is>
          <t>Latur</t>
        </is>
      </c>
      <c r="F21" s="3" t="inlineStr">
        <is>
          <t>Fractured Basalt, Vesicular Basalt</t>
        </is>
      </c>
      <c r="G21" s="13" t="n">
        <v>200</v>
      </c>
      <c r="H21" s="3" t="inlineStr">
        <is>
          <t>N/A</t>
        </is>
      </c>
      <c r="I21" s="13" t="n">
        <v>69.42</v>
      </c>
      <c r="J21" s="13" t="n">
        <v>3.17</v>
      </c>
      <c r="K21" s="3" t="inlineStr">
        <is>
          <t>N/A</t>
        </is>
      </c>
      <c r="L21" s="13" t="n">
        <v>34.5</v>
      </c>
    </row>
    <row r="22" ht="20" customHeight="1">
      <c r="A22" s="10" t="n">
        <v>21</v>
      </c>
      <c r="B22" s="2" t="inlineStr">
        <is>
          <t>nan</t>
        </is>
      </c>
      <c r="C22" s="2" t="inlineStr">
        <is>
          <t>Chikurda</t>
        </is>
      </c>
      <c r="D22" s="2" t="inlineStr">
        <is>
          <t>Latur</t>
        </is>
      </c>
      <c r="E22" s="2" t="inlineStr">
        <is>
          <t>Latur</t>
        </is>
      </c>
      <c r="F22" s="2" t="inlineStr">
        <is>
          <t>NA</t>
        </is>
      </c>
      <c r="G22" s="5" t="n">
        <v>200</v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5" t="n">
        <v>36.6</v>
      </c>
    </row>
    <row r="23" ht="20" customHeight="1">
      <c r="A23" s="9" t="n">
        <v>22</v>
      </c>
      <c r="B23" s="3" t="inlineStr">
        <is>
          <t>nan</t>
        </is>
      </c>
      <c r="C23" s="3" t="inlineStr">
        <is>
          <t>Badadal</t>
        </is>
      </c>
      <c r="D23" s="3" t="inlineStr">
        <is>
          <t>Afzalpur</t>
        </is>
      </c>
      <c r="E23" s="3" t="inlineStr">
        <is>
          <t>Gulbarga</t>
        </is>
      </c>
      <c r="F23" s="3" t="inlineStr">
        <is>
          <t>Basalt, Shale, Limestone</t>
        </is>
      </c>
      <c r="G23" s="13" t="n">
        <v>201.6</v>
      </c>
      <c r="H23" s="3" t="inlineStr">
        <is>
          <t>N/A</t>
        </is>
      </c>
      <c r="I23" s="13" t="n">
        <v>18.34</v>
      </c>
      <c r="J23" s="13" t="n">
        <v>0.3</v>
      </c>
      <c r="K23" s="3" t="inlineStr">
        <is>
          <t>N/A</t>
        </is>
      </c>
      <c r="L23" s="13" t="n">
        <v>37.7</v>
      </c>
    </row>
    <row r="24" ht="20" customHeight="1">
      <c r="A24" s="10" t="n">
        <v>23</v>
      </c>
      <c r="B24" s="2" t="inlineStr">
        <is>
          <t>nan</t>
        </is>
      </c>
      <c r="C24" s="2" t="inlineStr">
        <is>
          <t>Khadgaon</t>
        </is>
      </c>
      <c r="D24" s="2" t="inlineStr">
        <is>
          <t>Latur</t>
        </is>
      </c>
      <c r="E24" s="2" t="inlineStr">
        <is>
          <t>Latur</t>
        </is>
      </c>
      <c r="F24" s="2" t="inlineStr">
        <is>
          <t>Esicular Basalt</t>
        </is>
      </c>
      <c r="G24" s="5" t="n">
        <v>203</v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5" t="n">
        <v>38</v>
      </c>
    </row>
    <row r="25" ht="20" customHeight="1">
      <c r="A25" s="9" t="n">
        <v>24</v>
      </c>
      <c r="B25" s="3" t="inlineStr">
        <is>
          <t>nan</t>
        </is>
      </c>
      <c r="C25" s="3" t="inlineStr">
        <is>
          <t>Babhalgaon</t>
        </is>
      </c>
      <c r="D25" s="3" t="inlineStr">
        <is>
          <t>Latur</t>
        </is>
      </c>
      <c r="E25" s="3" t="inlineStr">
        <is>
          <t>Latur</t>
        </is>
      </c>
      <c r="F25" s="3" t="inlineStr">
        <is>
          <t>Fractured Massive Basalt</t>
        </is>
      </c>
      <c r="G25" s="13" t="n">
        <v>200</v>
      </c>
      <c r="H25" s="3" t="inlineStr">
        <is>
          <t>N/A</t>
        </is>
      </c>
      <c r="I25" s="13" t="n">
        <v>18.6</v>
      </c>
      <c r="J25" s="13" t="n">
        <v>0.78</v>
      </c>
      <c r="K25" s="3" t="inlineStr">
        <is>
          <t>N/A</t>
        </is>
      </c>
      <c r="L25" s="13" t="n">
        <v>38</v>
      </c>
    </row>
    <row r="26" ht="20" customHeight="1">
      <c r="A26" s="10" t="n">
        <v>25</v>
      </c>
      <c r="B26" s="2" t="inlineStr">
        <is>
          <t>nan</t>
        </is>
      </c>
      <c r="C26" s="2" t="inlineStr">
        <is>
          <t>Ankalgi</t>
        </is>
      </c>
      <c r="D26" s="2" t="inlineStr">
        <is>
          <t>Afzalpur</t>
        </is>
      </c>
      <c r="E26" s="2" t="inlineStr">
        <is>
          <t>Gulbarga</t>
        </is>
      </c>
      <c r="F26" s="2" t="inlineStr">
        <is>
          <t>Basalt, Shale, Limestone</t>
        </is>
      </c>
      <c r="G26" s="5" t="n">
        <v>201.6</v>
      </c>
      <c r="H26" s="2" t="inlineStr">
        <is>
          <t>N/A</t>
        </is>
      </c>
      <c r="I26" s="5" t="n">
        <v>31.6</v>
      </c>
      <c r="J26" s="5" t="n">
        <v>0.14</v>
      </c>
      <c r="K26" s="5" t="n">
        <v>4.9</v>
      </c>
      <c r="L26" s="5" t="n">
        <v>39.1</v>
      </c>
    </row>
    <row r="27" ht="20" customHeight="1">
      <c r="A27" s="9" t="n">
        <v>26</v>
      </c>
      <c r="B27" s="3" t="inlineStr">
        <is>
          <t>nan</t>
        </is>
      </c>
      <c r="C27" s="3" t="inlineStr">
        <is>
          <t>Motephal</t>
        </is>
      </c>
      <c r="D27" s="3" t="inlineStr">
        <is>
          <t>Latur</t>
        </is>
      </c>
      <c r="E27" s="3" t="inlineStr">
        <is>
          <t>Latur</t>
        </is>
      </c>
      <c r="F27" s="3" t="inlineStr">
        <is>
          <t>NA</t>
        </is>
      </c>
      <c r="G27" s="13" t="n">
        <v>200</v>
      </c>
      <c r="H27" s="3" t="inlineStr">
        <is>
          <t>N/A</t>
        </is>
      </c>
      <c r="I27" s="3" t="inlineStr">
        <is>
          <t>N/A</t>
        </is>
      </c>
      <c r="J27" s="3" t="inlineStr">
        <is>
          <t>N/A</t>
        </is>
      </c>
      <c r="K27" s="3" t="inlineStr">
        <is>
          <t>N/A</t>
        </is>
      </c>
      <c r="L27" s="13" t="n">
        <v>39.1</v>
      </c>
    </row>
    <row r="28" ht="20" customHeight="1">
      <c r="A28" s="10" t="n">
        <v>27</v>
      </c>
      <c r="B28" s="2" t="inlineStr">
        <is>
          <t>nan</t>
        </is>
      </c>
      <c r="C28" s="2" t="inlineStr">
        <is>
          <t>Akharwai</t>
        </is>
      </c>
      <c r="D28" s="2" t="inlineStr">
        <is>
          <t>Latur</t>
        </is>
      </c>
      <c r="E28" s="2" t="inlineStr">
        <is>
          <t>Latur</t>
        </is>
      </c>
      <c r="F28" s="2" t="inlineStr">
        <is>
          <t>Fractured Massive Basalt</t>
        </is>
      </c>
      <c r="G28" s="5" t="n">
        <v>200</v>
      </c>
      <c r="H28" s="2" t="inlineStr">
        <is>
          <t>N/A</t>
        </is>
      </c>
      <c r="I28" s="5" t="n">
        <v>122</v>
      </c>
      <c r="J28" s="5" t="n">
        <v>3.169</v>
      </c>
      <c r="K28" s="2" t="inlineStr">
        <is>
          <t>N/A</t>
        </is>
      </c>
      <c r="L28" s="5" t="n">
        <v>39.2</v>
      </c>
    </row>
    <row r="29" ht="20" customHeight="1">
      <c r="A29" s="9" t="n">
        <v>28</v>
      </c>
      <c r="B29" s="3" t="inlineStr">
        <is>
          <t>nan</t>
        </is>
      </c>
      <c r="C29" s="3" t="inlineStr">
        <is>
          <t>Sumthana</t>
        </is>
      </c>
      <c r="D29" s="3" t="inlineStr">
        <is>
          <t>Latur</t>
        </is>
      </c>
      <c r="E29" s="3" t="inlineStr">
        <is>
          <t>Latur</t>
        </is>
      </c>
      <c r="F29" s="3" t="inlineStr">
        <is>
          <t>Massive Fractured Basalt, Vesicular Basalt</t>
        </is>
      </c>
      <c r="G29" s="13" t="n">
        <v>141.8</v>
      </c>
      <c r="H29" s="3" t="inlineStr">
        <is>
          <t>N/A</t>
        </is>
      </c>
      <c r="I29" s="13" t="n">
        <v>96</v>
      </c>
      <c r="J29" s="13" t="n">
        <v>8</v>
      </c>
      <c r="K29" s="3" t="inlineStr">
        <is>
          <t>N/A</t>
        </is>
      </c>
      <c r="L29" s="13" t="n">
        <v>39.6</v>
      </c>
    </row>
    <row r="30" ht="20" customHeight="1">
      <c r="A30" s="10" t="n">
        <v>29</v>
      </c>
      <c r="B30" s="2" t="inlineStr">
        <is>
          <t>nan</t>
        </is>
      </c>
      <c r="C30" s="2" t="inlineStr">
        <is>
          <t>Chichondi</t>
        </is>
      </c>
      <c r="D30" s="2" t="inlineStr">
        <is>
          <t>Nilanga</t>
        </is>
      </c>
      <c r="E30" s="2" t="inlineStr">
        <is>
          <t>Latur</t>
        </is>
      </c>
      <c r="F30" s="2" t="inlineStr">
        <is>
          <t>Fractured Massive Basalt &amp; Contact Btw Massive Basalt &amp; Rb</t>
        </is>
      </c>
      <c r="G30" s="5" t="n">
        <v>166.3</v>
      </c>
      <c r="H30" s="2" t="inlineStr">
        <is>
          <t>N/A</t>
        </is>
      </c>
      <c r="I30" s="5" t="n">
        <v>29</v>
      </c>
      <c r="J30" s="5" t="n">
        <v>0.14</v>
      </c>
      <c r="K30" s="2" t="inlineStr">
        <is>
          <t>N/A</t>
        </is>
      </c>
      <c r="L30" s="5" t="n">
        <v>39.8</v>
      </c>
    </row>
    <row r="31" ht="20" customHeight="1">
      <c r="A31" s="9" t="n">
        <v>30</v>
      </c>
      <c r="B31" s="3" t="inlineStr">
        <is>
          <t>nan</t>
        </is>
      </c>
      <c r="C31" s="3" t="inlineStr">
        <is>
          <t>Bori</t>
        </is>
      </c>
      <c r="D31" s="3" t="inlineStr">
        <is>
          <t>Latur</t>
        </is>
      </c>
      <c r="E31" s="3" t="inlineStr">
        <is>
          <t>Latur</t>
        </is>
      </c>
      <c r="F31" s="3" t="inlineStr">
        <is>
          <t>Esicular Basalt</t>
        </is>
      </c>
      <c r="G31" s="13" t="n">
        <v>200</v>
      </c>
      <c r="H31" s="3" t="inlineStr">
        <is>
          <t>N/A</t>
        </is>
      </c>
      <c r="I31" s="13" t="n">
        <v>82</v>
      </c>
      <c r="J31" s="13" t="n">
        <v>0.38</v>
      </c>
      <c r="K31" s="3" t="inlineStr">
        <is>
          <t>N/A</t>
        </is>
      </c>
      <c r="L31" s="13" t="n">
        <v>40.1</v>
      </c>
    </row>
    <row r="32" ht="20" customHeight="1">
      <c r="A32" s="10" t="n">
        <v>31</v>
      </c>
      <c r="B32" s="2" t="inlineStr">
        <is>
          <t>nan</t>
        </is>
      </c>
      <c r="C32" s="2" t="inlineStr">
        <is>
          <t>Koganur Ow</t>
        </is>
      </c>
      <c r="D32" s="2" t="inlineStr">
        <is>
          <t>Afzalpur</t>
        </is>
      </c>
      <c r="E32" s="2" t="inlineStr">
        <is>
          <t>Gulbarga</t>
        </is>
      </c>
      <c r="F32" s="2" t="inlineStr">
        <is>
          <t>Basalt, Shale, Limestone</t>
        </is>
      </c>
      <c r="G32" s="5" t="n">
        <v>201.6</v>
      </c>
      <c r="H32" s="2" t="inlineStr">
        <is>
          <t>N/A</t>
        </is>
      </c>
      <c r="I32" s="5" t="n">
        <v>6.7</v>
      </c>
      <c r="J32" s="5" t="n">
        <v>3.28</v>
      </c>
      <c r="K32" s="2" t="inlineStr">
        <is>
          <t>N/A</t>
        </is>
      </c>
      <c r="L32" s="5" t="n">
        <v>40.2</v>
      </c>
    </row>
    <row r="33" ht="20" customHeight="1">
      <c r="A33" s="9" t="n">
        <v>32</v>
      </c>
      <c r="B33" s="3" t="inlineStr">
        <is>
          <t>nan</t>
        </is>
      </c>
      <c r="C33" s="3" t="inlineStr">
        <is>
          <t>Koganur Ew</t>
        </is>
      </c>
      <c r="D33" s="3" t="inlineStr">
        <is>
          <t>Afzalpur</t>
        </is>
      </c>
      <c r="E33" s="3" t="inlineStr">
        <is>
          <t>Gulbarga</t>
        </is>
      </c>
      <c r="F33" s="3" t="inlineStr">
        <is>
          <t>Basalt, Shale, Limestone</t>
        </is>
      </c>
      <c r="G33" s="13" t="n">
        <v>201.6</v>
      </c>
      <c r="H33" s="3" t="inlineStr">
        <is>
          <t>N/A</t>
        </is>
      </c>
      <c r="I33" s="13" t="n">
        <v>4.94</v>
      </c>
      <c r="J33" s="13" t="n">
        <v>3.77</v>
      </c>
      <c r="K33" s="3" t="inlineStr">
        <is>
          <t>N/A</t>
        </is>
      </c>
      <c r="L33" s="13" t="n">
        <v>40.2</v>
      </c>
    </row>
    <row r="34" ht="20" customHeight="1">
      <c r="A34" s="10" t="n">
        <v>33</v>
      </c>
      <c r="B34" s="2" t="inlineStr">
        <is>
          <t>nan</t>
        </is>
      </c>
      <c r="C34" s="2" t="inlineStr">
        <is>
          <t>Nimbergi</t>
        </is>
      </c>
      <c r="D34" s="2" t="inlineStr">
        <is>
          <t>S.Solapur</t>
        </is>
      </c>
      <c r="E34" s="2" t="inlineStr">
        <is>
          <t>Solapur</t>
        </is>
      </c>
      <c r="F34" s="2" t="inlineStr">
        <is>
          <t>Fractured Vesicular Basalt, Fractured Massive Basalt</t>
        </is>
      </c>
      <c r="G34" s="5" t="n">
        <v>200</v>
      </c>
      <c r="H34" s="2" t="inlineStr">
        <is>
          <t>N/A</t>
        </is>
      </c>
      <c r="I34" s="5" t="n">
        <v>59.35</v>
      </c>
      <c r="J34" s="5" t="n">
        <v>2.16</v>
      </c>
      <c r="K34" s="2" t="inlineStr">
        <is>
          <t>N/A</t>
        </is>
      </c>
      <c r="L34" s="5" t="n">
        <v>40.7</v>
      </c>
    </row>
    <row r="35" ht="20" customHeight="1">
      <c r="A35" s="9" t="n">
        <v>34</v>
      </c>
      <c r="B35" s="3" t="inlineStr">
        <is>
          <t>nan</t>
        </is>
      </c>
      <c r="C35" s="3" t="inlineStr">
        <is>
          <t>Puluj</t>
        </is>
      </c>
      <c r="D35" s="3" t="inlineStr">
        <is>
          <t>Pandharpur</t>
        </is>
      </c>
      <c r="E35" s="3" t="inlineStr">
        <is>
          <t>Solapur</t>
        </is>
      </c>
      <c r="F35" s="3" t="inlineStr">
        <is>
          <t>Fractured Vesicular Basalt</t>
        </is>
      </c>
      <c r="G35" s="13" t="n">
        <v>200</v>
      </c>
      <c r="H35" s="3" t="inlineStr">
        <is>
          <t>N/A</t>
        </is>
      </c>
      <c r="I35" s="13" t="n">
        <v>4.6</v>
      </c>
      <c r="J35" s="13" t="n">
        <v>3.77</v>
      </c>
      <c r="K35" s="3" t="inlineStr">
        <is>
          <t>N/A</t>
        </is>
      </c>
      <c r="L35" s="13" t="n">
        <v>42.7</v>
      </c>
    </row>
    <row r="36" ht="20" customHeight="1">
      <c r="A36" s="10" t="n">
        <v>35</v>
      </c>
      <c r="B36" s="2" t="inlineStr">
        <is>
          <t>nan</t>
        </is>
      </c>
      <c r="C36" s="2" t="inlineStr">
        <is>
          <t>Ashta Mod</t>
        </is>
      </c>
      <c r="D36" s="2" t="inlineStr">
        <is>
          <t>Latur</t>
        </is>
      </c>
      <c r="E36" s="2" t="inlineStr">
        <is>
          <t>Latur</t>
        </is>
      </c>
      <c r="F36" s="2" t="inlineStr">
        <is>
          <t>Weathered Vesicular Fractured Basalt, Vesicular Basalt</t>
        </is>
      </c>
      <c r="G36" s="5" t="n">
        <v>202.9</v>
      </c>
      <c r="H36" s="2" t="inlineStr">
        <is>
          <t>N/A</t>
        </is>
      </c>
      <c r="I36" s="5" t="n">
        <v>90.2</v>
      </c>
      <c r="J36" s="5" t="n">
        <v>8.199999999999999</v>
      </c>
      <c r="K36" s="2" t="inlineStr">
        <is>
          <t>N/A</t>
        </is>
      </c>
      <c r="L36" s="5" t="n">
        <v>43.7</v>
      </c>
    </row>
    <row r="37" ht="20" customHeight="1">
      <c r="A37" s="9" t="n">
        <v>36</v>
      </c>
      <c r="B37" s="3" t="inlineStr">
        <is>
          <t>nan</t>
        </is>
      </c>
      <c r="C37" s="3" t="inlineStr">
        <is>
          <t>New Diksangi</t>
        </is>
      </c>
      <c r="D37" s="3" t="inlineStr">
        <is>
          <t>Afzalpur</t>
        </is>
      </c>
      <c r="E37" s="3" t="inlineStr">
        <is>
          <t>Gulbarga</t>
        </is>
      </c>
      <c r="F37" s="3" t="inlineStr">
        <is>
          <t>Basalt, Shale, Limestone</t>
        </is>
      </c>
      <c r="G37" s="13" t="n">
        <v>201.6</v>
      </c>
      <c r="H37" s="3" t="inlineStr">
        <is>
          <t>N/A</t>
        </is>
      </c>
      <c r="I37" s="13" t="n">
        <v>16.67</v>
      </c>
      <c r="J37" s="13" t="n">
        <v>0.014</v>
      </c>
      <c r="K37" s="13" t="n">
        <v>35</v>
      </c>
      <c r="L37" s="13" t="n">
        <v>43.7</v>
      </c>
    </row>
    <row r="38" ht="20" customHeight="1">
      <c r="A38" s="10" t="n">
        <v>37</v>
      </c>
      <c r="B38" s="2" t="inlineStr">
        <is>
          <t>nan</t>
        </is>
      </c>
      <c r="C38" s="2" t="inlineStr">
        <is>
          <t>Nandgaon</t>
        </is>
      </c>
      <c r="D38" s="2" t="inlineStr">
        <is>
          <t>Latur</t>
        </is>
      </c>
      <c r="E38" s="2" t="inlineStr">
        <is>
          <t>Latur</t>
        </is>
      </c>
      <c r="F38" s="2" t="inlineStr">
        <is>
          <t>Esicular Basalt</t>
        </is>
      </c>
      <c r="G38" s="5" t="n">
        <v>200</v>
      </c>
      <c r="H38" s="2" t="inlineStr">
        <is>
          <t>N/A</t>
        </is>
      </c>
      <c r="I38" s="5" t="n">
        <v>95</v>
      </c>
      <c r="J38" s="5" t="n">
        <v>2.16</v>
      </c>
      <c r="K38" s="2" t="inlineStr">
        <is>
          <t>N/A</t>
        </is>
      </c>
      <c r="L38" s="5" t="n">
        <v>43.9</v>
      </c>
    </row>
    <row r="39" ht="20" customHeight="1">
      <c r="A39" s="9" t="n">
        <v>38</v>
      </c>
      <c r="B39" s="3" t="inlineStr">
        <is>
          <t>nan</t>
        </is>
      </c>
      <c r="C39" s="3" t="inlineStr">
        <is>
          <t>Bhutashte</t>
        </is>
      </c>
      <c r="D39" s="3" t="inlineStr">
        <is>
          <t>Madha</t>
        </is>
      </c>
      <c r="E39" s="3" t="inlineStr">
        <is>
          <t>Solapur</t>
        </is>
      </c>
      <c r="F39" s="3" t="inlineStr">
        <is>
          <t>Fractured Massive Basalt</t>
        </is>
      </c>
      <c r="G39" s="13" t="n">
        <v>166.2</v>
      </c>
      <c r="H39" s="3" t="inlineStr">
        <is>
          <t>N/A</t>
        </is>
      </c>
      <c r="I39" s="13" t="n">
        <v>51</v>
      </c>
      <c r="J39" s="3" t="inlineStr">
        <is>
          <t>N/A</t>
        </is>
      </c>
      <c r="K39" s="3" t="inlineStr">
        <is>
          <t>N/A</t>
        </is>
      </c>
      <c r="L39" s="13" t="n">
        <v>44.3</v>
      </c>
    </row>
    <row r="40" ht="20" customHeight="1">
      <c r="A40" s="10" t="n">
        <v>39</v>
      </c>
      <c r="B40" s="2" t="inlineStr">
        <is>
          <t>nan</t>
        </is>
      </c>
      <c r="C40" s="2" t="inlineStr">
        <is>
          <t>Karajgi</t>
        </is>
      </c>
      <c r="D40" s="2" t="inlineStr">
        <is>
          <t>Afzalpur</t>
        </is>
      </c>
      <c r="E40" s="2" t="inlineStr">
        <is>
          <t>Gulbarga</t>
        </is>
      </c>
      <c r="F40" s="2" t="inlineStr">
        <is>
          <t>Basalt, Shale, Limestone</t>
        </is>
      </c>
      <c r="G40" s="5" t="n">
        <v>201.6</v>
      </c>
      <c r="H40" s="2" t="inlineStr">
        <is>
          <t>N/A</t>
        </is>
      </c>
      <c r="I40" s="5" t="n">
        <v>52.56</v>
      </c>
      <c r="J40" s="5" t="n">
        <v>0.4</v>
      </c>
      <c r="K40" s="2" t="inlineStr">
        <is>
          <t>N/A</t>
        </is>
      </c>
      <c r="L40" s="5" t="n">
        <v>44.5</v>
      </c>
    </row>
    <row r="41" ht="20" customHeight="1">
      <c r="A41" s="9" t="n">
        <v>40</v>
      </c>
      <c r="B41" s="3" t="inlineStr">
        <is>
          <t>nan</t>
        </is>
      </c>
      <c r="C41" s="3" t="inlineStr">
        <is>
          <t>Kasarkheda 2</t>
        </is>
      </c>
      <c r="D41" s="3" t="inlineStr">
        <is>
          <t>Latur</t>
        </is>
      </c>
      <c r="E41" s="3" t="inlineStr">
        <is>
          <t>Latur</t>
        </is>
      </c>
      <c r="F41" s="3" t="inlineStr">
        <is>
          <t>Esicular Basalt</t>
        </is>
      </c>
      <c r="G41" s="13" t="n">
        <v>200</v>
      </c>
      <c r="H41" s="3" t="inlineStr">
        <is>
          <t>N/A</t>
        </is>
      </c>
      <c r="I41" s="13" t="n">
        <v>36</v>
      </c>
      <c r="J41" s="13" t="n">
        <v>0.78</v>
      </c>
      <c r="K41" s="3" t="inlineStr">
        <is>
          <t>N/A</t>
        </is>
      </c>
      <c r="L41" s="13" t="n">
        <v>46.4</v>
      </c>
    </row>
    <row r="42" ht="20" customHeight="1">
      <c r="A42" s="10" t="n">
        <v>41</v>
      </c>
      <c r="B42" s="2" t="inlineStr">
        <is>
          <t>nan</t>
        </is>
      </c>
      <c r="C42" s="2" t="inlineStr">
        <is>
          <t>Kasarkheda 1</t>
        </is>
      </c>
      <c r="D42" s="2" t="inlineStr">
        <is>
          <t>Latur</t>
        </is>
      </c>
      <c r="E42" s="2" t="inlineStr">
        <is>
          <t>Latur</t>
        </is>
      </c>
      <c r="F42" s="2" t="inlineStr">
        <is>
          <t>Fractured Vesicular Basalt</t>
        </is>
      </c>
      <c r="G42" s="5" t="n">
        <v>200</v>
      </c>
      <c r="H42" s="2" t="inlineStr">
        <is>
          <t>N/A</t>
        </is>
      </c>
      <c r="I42" s="5" t="n">
        <v>35.6</v>
      </c>
      <c r="J42" s="5" t="n">
        <v>3</v>
      </c>
      <c r="K42" s="2" t="inlineStr">
        <is>
          <t>N/A</t>
        </is>
      </c>
      <c r="L42" s="5" t="n">
        <v>46.4</v>
      </c>
    </row>
    <row r="43" ht="20" customHeight="1">
      <c r="A43" s="9" t="n">
        <v>42</v>
      </c>
      <c r="B43" s="3" t="inlineStr">
        <is>
          <t>nan</t>
        </is>
      </c>
      <c r="C43" s="3" t="inlineStr">
        <is>
          <t>Tungat</t>
        </is>
      </c>
      <c r="D43" s="3" t="inlineStr">
        <is>
          <t>Pandharpur</t>
        </is>
      </c>
      <c r="E43" s="3" t="inlineStr">
        <is>
          <t>Solapur</t>
        </is>
      </c>
      <c r="F43" s="3" t="inlineStr">
        <is>
          <t>Fractured Vesicular Basalt</t>
        </is>
      </c>
      <c r="G43" s="13" t="n">
        <v>200</v>
      </c>
      <c r="H43" s="3" t="inlineStr">
        <is>
          <t>N/A</t>
        </is>
      </c>
      <c r="I43" s="13" t="n">
        <v>101</v>
      </c>
      <c r="J43" s="3" t="inlineStr">
        <is>
          <t>N/A</t>
        </is>
      </c>
      <c r="K43" s="3" t="inlineStr">
        <is>
          <t>N/A</t>
        </is>
      </c>
      <c r="L43" s="13" t="n">
        <v>46.5</v>
      </c>
    </row>
    <row r="44" ht="20" customHeight="1">
      <c r="A44" s="10" t="n">
        <v>43</v>
      </c>
      <c r="B44" s="2" t="inlineStr">
        <is>
          <t>nan</t>
        </is>
      </c>
      <c r="C44" s="2" t="inlineStr">
        <is>
          <t>Bankalaga</t>
        </is>
      </c>
      <c r="D44" s="2" t="inlineStr">
        <is>
          <t>Afzalpur</t>
        </is>
      </c>
      <c r="E44" s="2" t="inlineStr">
        <is>
          <t>Gulbarga</t>
        </is>
      </c>
      <c r="F44" s="2" t="inlineStr">
        <is>
          <t>Basalt, Shale, Limestone</t>
        </is>
      </c>
      <c r="G44" s="5" t="n">
        <v>201.6</v>
      </c>
      <c r="H44" s="2" t="inlineStr">
        <is>
          <t>N/A</t>
        </is>
      </c>
      <c r="I44" s="5" t="n">
        <v>10.35</v>
      </c>
      <c r="J44" s="5" t="n">
        <v>0.4</v>
      </c>
      <c r="K44" s="5" t="n">
        <v>38</v>
      </c>
      <c r="L44" s="5" t="n">
        <v>48.6</v>
      </c>
    </row>
    <row r="45" ht="20" customHeight="1">
      <c r="A45" s="9" t="n">
        <v>44</v>
      </c>
      <c r="B45" s="3" t="inlineStr">
        <is>
          <t>nan</t>
        </is>
      </c>
      <c r="C45" s="3" t="inlineStr">
        <is>
          <t>Mahalangra</t>
        </is>
      </c>
      <c r="D45" s="3" t="inlineStr">
        <is>
          <t>Chakur</t>
        </is>
      </c>
      <c r="E45" s="3" t="inlineStr">
        <is>
          <t>Latur</t>
        </is>
      </c>
      <c r="F45" s="3" t="inlineStr">
        <is>
          <t>Esicular Basalt</t>
        </is>
      </c>
      <c r="G45" s="13" t="n">
        <v>190.7</v>
      </c>
      <c r="H45" s="3" t="inlineStr">
        <is>
          <t>N/A</t>
        </is>
      </c>
      <c r="I45" s="13" t="n">
        <v>40.2</v>
      </c>
      <c r="J45" s="13" t="n">
        <v>8</v>
      </c>
      <c r="K45" s="3" t="inlineStr">
        <is>
          <t>N/A</t>
        </is>
      </c>
      <c r="L45" s="13" t="n">
        <v>49.2</v>
      </c>
    </row>
    <row r="46" ht="20" customHeight="1">
      <c r="A46" s="10" t="n">
        <v>45</v>
      </c>
      <c r="B46" s="2" t="inlineStr">
        <is>
          <t>nan</t>
        </is>
      </c>
      <c r="C46" s="2" t="inlineStr">
        <is>
          <t>Devengrawadi</t>
        </is>
      </c>
      <c r="D46" s="2" t="inlineStr">
        <is>
          <t>Chakur</t>
        </is>
      </c>
      <c r="E46" s="2" t="inlineStr">
        <is>
          <t>Latur</t>
        </is>
      </c>
      <c r="F46" s="2" t="inlineStr">
        <is>
          <t>Esicular Basalt</t>
        </is>
      </c>
      <c r="G46" s="5" t="n">
        <v>184.6</v>
      </c>
      <c r="H46" s="2" t="inlineStr">
        <is>
          <t>N/A</t>
        </is>
      </c>
      <c r="I46" s="5" t="n">
        <v>29</v>
      </c>
      <c r="J46" s="5" t="n">
        <v>8.4</v>
      </c>
      <c r="K46" s="2" t="inlineStr">
        <is>
          <t>N/A</t>
        </is>
      </c>
      <c r="L46" s="5" t="n">
        <v>49.7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30" customWidth="1" min="3" max="3"/>
    <col width="41" customWidth="1" min="4" max="4"/>
    <col width="42" customWidth="1" min="5" max="5"/>
    <col width="42" customWidth="1" min="6" max="6"/>
    <col width="58" customWidth="1" min="7" max="7"/>
  </cols>
  <sheetData>
    <row r="1" ht="28" customHeight="1">
      <c r="A1" s="1" t="inlineStr">
        <is>
          <t>Intervention Structure Type</t>
        </is>
      </c>
      <c r="B1" s="1" t="inlineStr">
        <is>
          <t>Hydrological Stream Order</t>
        </is>
      </c>
      <c r="C1" s="1" t="inlineStr">
        <is>
          <t>Optimum Slope Range</t>
        </is>
      </c>
      <c r="D1" s="1" t="inlineStr">
        <is>
          <t>Geomorphic Unit Setting</t>
        </is>
      </c>
      <c r="E1" s="1" t="inlineStr">
        <is>
          <t>Targeted Hydrogeology</t>
        </is>
      </c>
      <c r="F1" s="1" t="inlineStr">
        <is>
          <t>Estimated Storage / Impact</t>
        </is>
      </c>
      <c r="G1" s="1" t="inlineStr">
        <is>
          <t>Priority Siting Locations in Lohara</t>
        </is>
      </c>
    </row>
    <row r="2" ht="20" customHeight="1">
      <c r="A2" s="2" t="inlineStr">
        <is>
          <t>Percolation Tank (PT)</t>
        </is>
      </c>
      <c r="B2" s="2" t="inlineStr">
        <is>
          <t>3rd to 4th Order Streams</t>
        </is>
      </c>
      <c r="C2" s="2" t="inlineStr">
        <is>
          <t>1° – 3° (Very Gentle)</t>
        </is>
      </c>
      <c r="D2" s="2" t="inlineStr">
        <is>
          <t>Weathered Pediplain</t>
        </is>
      </c>
      <c r="E2" s="2" t="inlineStr">
        <is>
          <t>Weathered Vesicular Basalt (&gt;3m depth)</t>
        </is>
      </c>
      <c r="F2" s="2" t="inlineStr">
        <is>
          <t>50,000 – 120,000 m³</t>
        </is>
      </c>
      <c r="G2" s="2" t="inlineStr">
        <is>
          <t>Mangrul, Karla, Tirth, Wadgaon Laki, Javalga</t>
        </is>
      </c>
    </row>
    <row r="3" ht="20" customHeight="1">
      <c r="A3" s="3" t="inlineStr">
        <is>
          <t>Masonry Check Dam (CD)</t>
        </is>
      </c>
      <c r="B3" s="3" t="inlineStr">
        <is>
          <t>2nd to 3rd Order Streams</t>
        </is>
      </c>
      <c r="C3" s="3" t="inlineStr">
        <is>
          <t>1° – 3° (Very Gentle)</t>
        </is>
      </c>
      <c r="D3" s="3" t="inlineStr">
        <is>
          <t>Terna Tributary Depressions</t>
        </is>
      </c>
      <c r="E3" s="3" t="inlineStr">
        <is>
          <t>Fractured Basalt Rock Bed</t>
        </is>
      </c>
      <c r="F3" s="3" t="inlineStr">
        <is>
          <t>10,000 – 25,000 m³</t>
        </is>
      </c>
      <c r="G3" s="3" t="inlineStr">
        <is>
          <t>Terna river headwater tributaries, Chikundra, Horti</t>
        </is>
      </c>
    </row>
    <row r="4" ht="20" customHeight="1">
      <c r="A4" s="2" t="inlineStr">
        <is>
          <t>Subsurface Dyke (SSD)</t>
        </is>
      </c>
      <c r="B4" s="2" t="inlineStr">
        <is>
          <t>4th to 5th Order Streams</t>
        </is>
      </c>
      <c r="C4" s="2" t="inlineStr">
        <is>
          <t>&lt; 1° (Valley Floor)</t>
        </is>
      </c>
      <c r="D4" s="2" t="inlineStr">
        <is>
          <t>Alluvial Valley Fill / Buried Channel</t>
        </is>
      </c>
      <c r="E4" s="2" t="inlineStr">
        <is>
          <t>Basalt Bedrock Bar across valley</t>
        </is>
      </c>
      <c r="F4" s="2" t="inlineStr">
        <is>
          <t>Preserves summer dugwell yields</t>
        </is>
      </c>
      <c r="G4" s="2" t="inlineStr">
        <is>
          <t>Terna river alluvial reach downstream of Karla</t>
        </is>
      </c>
    </row>
    <row r="5" ht="20" customHeight="1">
      <c r="A5" s="3" t="inlineStr">
        <is>
          <t>Continuous Contour Trench (CCT)</t>
        </is>
      </c>
      <c r="B5" s="3" t="inlineStr">
        <is>
          <t>Northern Boundary Ridges</t>
        </is>
      </c>
      <c r="C5" s="3" t="inlineStr">
        <is>
          <t>5° – 10° (Moderate Slopes)</t>
        </is>
      </c>
      <c r="D5" s="3" t="inlineStr">
        <is>
          <t>Dissected Plateau Edge</t>
        </is>
      </c>
      <c r="E5" s="3" t="inlineStr">
        <is>
          <t>Hard Basalt Terrace Steps</t>
        </is>
      </c>
      <c r="F5" s="3" t="inlineStr">
        <is>
          <t>Intercepts runoff before plateau plain</t>
        </is>
      </c>
      <c r="G5" s="3" t="inlineStr">
        <is>
          <t>Northern boundary escarpments near Toramba &amp; Mardi</t>
        </is>
      </c>
    </row>
    <row r="6" ht="20" customHeight="1">
      <c r="A6" s="2" t="inlineStr">
        <is>
          <t>Farm Ponds (FP)</t>
        </is>
      </c>
      <c r="B6" s="2" t="inlineStr">
        <is>
          <t>Overland Runoff Swales</t>
        </is>
      </c>
      <c r="C6" s="2" t="inlineStr">
        <is>
          <t>&lt; 2° (Nearly Level)</t>
        </is>
      </c>
      <c r="D6" s="2" t="inlineStr">
        <is>
          <t>Main High Tableland</t>
        </is>
      </c>
      <c r="E6" s="2" t="inlineStr">
        <is>
          <t>Deep to Moderately Deep Vertisols</t>
        </is>
      </c>
      <c r="F6" s="2" t="inlineStr">
        <is>
          <t>Protective winter chickpea irrigation</t>
        </is>
      </c>
      <c r="G6" s="2" t="inlineStr">
        <is>
          <t>Extensive soybean-gram cultivated tablelands of Lohara</t>
        </is>
      </c>
    </row>
    <row r="7" ht="20" customHeight="1">
      <c r="A7" s="3" t="inlineStr">
        <is>
          <t>Recharge Shaft in Dry Dugwells</t>
        </is>
      </c>
      <c r="B7" s="3" t="inlineStr">
        <is>
          <t>Direct Well Recharging</t>
        </is>
      </c>
      <c r="C7" s="3" t="inlineStr">
        <is>
          <t>All Topographies</t>
        </is>
      </c>
      <c r="D7" s="3" t="inlineStr">
        <is>
          <t>Settlement and Farm Wells</t>
        </is>
      </c>
      <c r="E7" s="3" t="inlineStr">
        <is>
          <t>Vesicular Basalt Aquifer Zone</t>
        </is>
      </c>
      <c r="F7" s="3" t="inlineStr">
        <is>
          <t>Direct recharge into basalt joints</t>
        </is>
      </c>
      <c r="G7" s="3" t="inlineStr">
        <is>
          <t>All 47 Gram Panchayats in Lohara Taluka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2026-10-13T07:12:50Z</dcterms:created>
  <dcterms:modified xmlns:dcterms="http://purl.org/dc/terms/" xmlns:xsi="http://www.w3.org/2001/XMLSchema-instance" xsi:type="dcterms:W3CDTF">2026-10-13T07:12:50Z</dcterms:modified>
</cp:coreProperties>
</file>