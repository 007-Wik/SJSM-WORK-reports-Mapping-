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Village_Cadastre_Directory" sheetId="2" state="visible" r:id="rId2"/>
    <sheet xmlns:r="http://schemas.openxmlformats.org/officeDocument/2006/relationships" name="3_Topography_Elevation" sheetId="3" state="visible" r:id="rId3"/>
    <sheet xmlns:r="http://schemas.openxmlformats.org/officeDocument/2006/relationships" name="4_Slope_Terrain_Ruggedness" sheetId="4" state="visible" r:id="rId4"/>
    <sheet xmlns:r="http://schemas.openxmlformats.org/officeDocument/2006/relationships" name="5_Hydrology_Stream_Orders" sheetId="5" state="visible" r:id="rId5"/>
    <sheet xmlns:r="http://schemas.openxmlformats.org/officeDocument/2006/relationships" name="6_Pedology_Soil_Depth" sheetId="6" state="visible" r:id="rId6"/>
    <sheet xmlns:r="http://schemas.openxmlformats.org/officeDocument/2006/relationships" name="7_Soil_Texture_USDA" sheetId="7" state="visible" r:id="rId7"/>
    <sheet xmlns:r="http://schemas.openxmlformats.org/officeDocument/2006/relationships" name="8_Land_Use_Land_Cover" sheetId="8" state="visible" r:id="rId8"/>
    <sheet xmlns:r="http://schemas.openxmlformats.org/officeDocument/2006/relationships" name="9_Seasonal_NDVI_Dynamics" sheetId="9" state="visible" r:id="rId9"/>
    <sheet xmlns:r="http://schemas.openxmlformats.org/officeDocument/2006/relationships" name="10_Precipitation_Climatology" sheetId="10" state="visible" r:id="rId10"/>
    <sheet xmlns:r="http://schemas.openxmlformats.org/officeDocument/2006/relationships" name="11_Geomorphology_Landforms" sheetId="11" state="visible" r:id="rId11"/>
    <sheet xmlns:r="http://schemas.openxmlformats.org/officeDocument/2006/relationships" name="12_RGNDWM_Toposheet_Matrix" sheetId="12" state="visible" r:id="rId12"/>
    <sheet xmlns:r="http://schemas.openxmlformats.org/officeDocument/2006/relationships" name="13_Lithology_CGWB_Wells" sheetId="13" state="visible" r:id="rId13"/>
    <sheet xmlns:r="http://schemas.openxmlformats.org/officeDocument/2006/relationships" name="14_Recharge_Siting_Matr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.0;-#,##0.0;0.0"/>
    <numFmt numFmtId="166" formatCode="+0.00%;-0.00%;0.00%"/>
  </numFmts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color rgb="000F172A"/>
      <sz val="10"/>
    </font>
    <font>
      <name val="Times New Roman"/>
      <b val="1"/>
      <color rgb="001E1B4B"/>
      <sz val="10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EF2F6"/>
        <bgColor rgb="00EEF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1B4B"/>
      </top>
      <bottom style="double">
        <color rgb="001E1B4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left" vertical="center"/>
    </xf>
    <xf numFmtId="10" fontId="3" fillId="5" borderId="2" applyAlignment="1" pivotButton="0" quotePrefix="0" xfId="0">
      <alignment horizontal="right" vertical="center"/>
    </xf>
    <xf numFmtId="3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3" customWidth="1" min="2" max="2"/>
    <col width="27" customWidth="1" min="3" max="3"/>
    <col width="48" customWidth="1" min="4" max="4"/>
  </cols>
  <sheetData>
    <row r="1" ht="28" customHeight="1">
      <c r="A1" s="1" t="inlineStr">
        <is>
          <t>Parameter Description</t>
        </is>
      </c>
      <c r="B1" s="1" t="inlineStr">
        <is>
          <t>Tuljapur Block Metric</t>
        </is>
      </c>
      <c r="C1" s="1" t="inlineStr">
        <is>
          <t>Unit</t>
        </is>
      </c>
      <c r="D1" s="1" t="inlineStr">
        <is>
          <t>Source Authority</t>
        </is>
      </c>
    </row>
    <row r="2" ht="20" customHeight="1">
      <c r="A2" s="2" t="inlineStr">
        <is>
          <t>Administrative District</t>
        </is>
      </c>
      <c r="B2" s="2" t="inlineStr">
        <is>
          <t>Dharashiv (formerly Osmanabad)</t>
        </is>
      </c>
      <c r="C2" s="2" t="inlineStr">
        <is>
          <t>Revenue District</t>
        </is>
      </c>
      <c r="D2" s="2" t="inlineStr">
        <is>
          <t>Government of Maharashtra</t>
        </is>
      </c>
    </row>
    <row r="3" ht="20" customHeight="1">
      <c r="A3" s="3" t="inlineStr">
        <is>
          <t>Total Geographical Area</t>
        </is>
      </c>
      <c r="B3" s="4" t="n">
        <v>1500.72</v>
      </c>
      <c r="C3" s="3" t="inlineStr">
        <is>
          <t>Square Kilometers (km²)</t>
        </is>
      </c>
      <c r="D3" s="3" t="inlineStr">
        <is>
          <t>Survey of India / MahaGIS Cadastre</t>
        </is>
      </c>
    </row>
    <row r="4" ht="20" customHeight="1">
      <c r="A4" s="2" t="inlineStr">
        <is>
          <t>Total Cadastral Area</t>
        </is>
      </c>
      <c r="B4" s="5" t="n">
        <v>150072</v>
      </c>
      <c r="C4" s="2" t="inlineStr">
        <is>
          <t>Hectares (ha)</t>
        </is>
      </c>
      <c r="D4" s="2" t="inlineStr">
        <is>
          <t>Calculated GIS Footprint (UTM 43N)</t>
        </is>
      </c>
    </row>
    <row r="5" ht="20" customHeight="1">
      <c r="A5" s="3" t="inlineStr">
        <is>
          <t>Share of Dharashiv District Area</t>
        </is>
      </c>
      <c r="B5" s="6" t="n">
        <v>0.2005</v>
      </c>
      <c r="C5" s="3" t="inlineStr">
        <is>
          <t>% of District</t>
        </is>
      </c>
      <c r="D5" s="3" t="inlineStr">
        <is>
          <t>District Statistical Abstract</t>
        </is>
      </c>
    </row>
    <row r="6" ht="20" customHeight="1">
      <c r="A6" s="2" t="inlineStr">
        <is>
          <t>Total Mapped Gram Panchayats / Villages</t>
        </is>
      </c>
      <c r="B6" s="7" t="n">
        <v>130</v>
      </c>
      <c r="C6" s="2" t="inlineStr">
        <is>
          <t>Cadastral Village Units</t>
        </is>
      </c>
      <c r="D6" s="2" t="inlineStr">
        <is>
          <t>Census of India / MRSAC</t>
        </is>
      </c>
    </row>
    <row r="7" ht="20" customHeight="1">
      <c r="A7" s="3" t="inlineStr">
        <is>
          <t>Total Human Population (Census 2011)</t>
        </is>
      </c>
      <c r="B7" s="8" t="n">
        <v>279720</v>
      </c>
      <c r="C7" s="3" t="inlineStr">
        <is>
          <t>Persons</t>
        </is>
      </c>
      <c r="D7" s="3" t="inlineStr">
        <is>
          <t>Census of India</t>
        </is>
      </c>
    </row>
    <row r="8" ht="20" customHeight="1">
      <c r="A8" s="2" t="inlineStr">
        <is>
          <t>Elevation Range (Min – Max)</t>
        </is>
      </c>
      <c r="B8" s="2" t="inlineStr">
        <is>
          <t>435.5 – 711.0 m</t>
        </is>
      </c>
      <c r="C8" s="2" t="inlineStr">
        <is>
          <t>Meters a.s.l.</t>
        </is>
      </c>
      <c r="D8" s="2" t="inlineStr">
        <is>
          <t>Copernicus GLO-30 DEM (30m)</t>
        </is>
      </c>
    </row>
    <row r="9" ht="20" customHeight="1">
      <c r="A9" s="3" t="inlineStr">
        <is>
          <t>Mean Surface Elevation</t>
        </is>
      </c>
      <c r="B9" s="9" t="n">
        <v>554.6</v>
      </c>
      <c r="C9" s="3" t="inlineStr">
        <is>
          <t>Meters a.s.l.</t>
        </is>
      </c>
      <c r="D9" s="3" t="inlineStr">
        <is>
          <t>Copernicus DEM Zonal Mean</t>
        </is>
      </c>
    </row>
    <row r="10" ht="20" customHeight="1">
      <c r="A10" s="2" t="inlineStr">
        <is>
          <t>Mean Topographic Slope</t>
        </is>
      </c>
      <c r="B10" s="10" t="n">
        <v>1.62</v>
      </c>
      <c r="C10" s="2" t="inlineStr">
        <is>
          <t>Degrees (°)</t>
        </is>
      </c>
      <c r="D10" s="2" t="inlineStr">
        <is>
          <t>Calculated Surface Gradient</t>
        </is>
      </c>
    </row>
    <row r="11" ht="20" customHeight="1">
      <c r="A11" s="3" t="inlineStr">
        <is>
          <t>Primary Hydrological Drainage Basin</t>
        </is>
      </c>
      <c r="B11" s="3" t="inlineStr">
        <is>
          <t>Bori River Sub-basin (Sina / Bhima Basin)</t>
        </is>
      </c>
      <c r="C11" s="3" t="inlineStr">
        <is>
          <t>River Sub-basin</t>
        </is>
      </c>
      <c r="D11" s="3" t="inlineStr">
        <is>
          <t>Central Water Commission (CWC)</t>
        </is>
      </c>
    </row>
    <row r="12" ht="20" customHeight="1">
      <c r="A12" s="2" t="inlineStr">
        <is>
          <t>Total Stream Network Length</t>
        </is>
      </c>
      <c r="B12" s="10" t="n">
        <v>1608.74</v>
      </c>
      <c r="C12" s="2" t="inlineStr">
        <is>
          <t>Kilometers (km)</t>
        </is>
      </c>
      <c r="D12" s="2" t="inlineStr">
        <is>
          <t>Derived Strahler Stream Orders 1-5</t>
        </is>
      </c>
    </row>
    <row r="13" ht="20" customHeight="1">
      <c r="A13" s="3" t="inlineStr">
        <is>
          <t>Drainage Density (Dd)</t>
        </is>
      </c>
      <c r="B13" s="9" t="n">
        <v>1.07</v>
      </c>
      <c r="C13" s="3" t="inlineStr">
        <is>
          <t>km / km²</t>
        </is>
      </c>
      <c r="D13" s="3" t="inlineStr">
        <is>
          <t>Hydrological Drainage Density</t>
        </is>
      </c>
    </row>
    <row r="14" ht="20" customHeight="1">
      <c r="A14" s="2" t="inlineStr">
        <is>
          <t>34-Year Mean Annual Precipitation</t>
        </is>
      </c>
      <c r="B14" s="10" t="n">
        <v>762.5</v>
      </c>
      <c r="C14" s="2" t="inlineStr">
        <is>
          <t>Millimeters (mm / year)</t>
        </is>
      </c>
      <c r="D14" s="2" t="inlineStr">
        <is>
          <t>CHIRPS Climatological Reanalysis (1991–2024)</t>
        </is>
      </c>
    </row>
    <row r="15" ht="20" customHeight="1">
      <c r="A15" s="3" t="inlineStr">
        <is>
          <t>Monsoon Precipitation Contribution</t>
        </is>
      </c>
      <c r="B15" s="6" t="n">
        <v>0.8139999999999999</v>
      </c>
      <c r="C15" s="3" t="inlineStr">
        <is>
          <t>% of Annual Total</t>
        </is>
      </c>
      <c r="D15" s="3" t="inlineStr">
        <is>
          <t>IMD South-West Monsoon (JJAS)</t>
        </is>
      </c>
    </row>
    <row r="16" ht="20" customHeight="1">
      <c r="A16" s="2" t="inlineStr">
        <is>
          <t>Predominant Soil Depth Class</t>
        </is>
      </c>
      <c r="B16" s="2" t="inlineStr">
        <is>
          <t>Very Shallow (&lt;25 cm) | 70.0%</t>
        </is>
      </c>
      <c r="C16" s="2" t="inlineStr">
        <is>
          <t>Depth Horizon</t>
        </is>
      </c>
      <c r="D16" s="2" t="inlineStr">
        <is>
          <t>NBSS &amp; LUP / ISRIC SoilGrids</t>
        </is>
      </c>
    </row>
    <row r="17" ht="20" customHeight="1">
      <c r="A17" s="3" t="inlineStr">
        <is>
          <t>Predominant USDA Soil Texture</t>
        </is>
      </c>
      <c r="B17" s="3" t="inlineStr">
        <is>
          <t>Clay (Deep Black Vertisols) | 93.5%</t>
        </is>
      </c>
      <c r="C17" s="3" t="inlineStr">
        <is>
          <t>USDA Texture</t>
        </is>
      </c>
      <c r="D17" s="3" t="inlineStr">
        <is>
          <t>OpenLandMap / USDA NRCS</t>
        </is>
      </c>
    </row>
    <row r="18" ht="20" customHeight="1">
      <c r="A18" s="2" t="inlineStr">
        <is>
          <t>Agricultural Cultivated Footprint</t>
        </is>
      </c>
      <c r="B18" s="11" t="n">
        <v>0.724</v>
      </c>
      <c r="C18" s="2" t="inlineStr">
        <is>
          <t>% Mapped Land Cover</t>
        </is>
      </c>
      <c r="D18" s="2" t="inlineStr">
        <is>
          <t>NRSC 1:250k Multi-temporal LULC</t>
        </is>
      </c>
    </row>
    <row r="19" ht="20" customHeight="1">
      <c r="A19" s="3" t="inlineStr">
        <is>
          <t>Current Agricultural Fallow Land</t>
        </is>
      </c>
      <c r="B19" s="9" t="n">
        <v>428.65</v>
      </c>
      <c r="C19" s="3" t="inlineStr">
        <is>
          <t>km²</t>
        </is>
      </c>
      <c r="D19" s="3" t="inlineStr">
        <is>
          <t>NRSC Multi-season Agricultural Dynamics</t>
        </is>
      </c>
    </row>
    <row r="20" ht="20" customHeight="1">
      <c r="A20" s="2" t="inlineStr">
        <is>
          <t>Total Classified Road Network</t>
        </is>
      </c>
      <c r="B20" s="10" t="n">
        <v>1328.45</v>
      </c>
      <c r="C20" s="2" t="inlineStr">
        <is>
          <t>Kilometers (km)</t>
        </is>
      </c>
      <c r="D20" s="2" t="inlineStr">
        <is>
          <t>NH-52, State Highways &amp; ODRs (OSM)</t>
        </is>
      </c>
    </row>
    <row r="21" ht="20" customHeight="1">
      <c r="A21" s="3" t="inlineStr">
        <is>
          <t>Major Geological Lithology</t>
        </is>
      </c>
      <c r="B21" s="3" t="inlineStr">
        <is>
          <t>Deccan Basalt (Pahoehoe &amp; 'Aa' Flows)</t>
        </is>
      </c>
      <c r="C21" s="3" t="inlineStr">
        <is>
          <t>Stratigraphic Unit</t>
        </is>
      </c>
      <c r="D21" s="3" t="inlineStr">
        <is>
          <t>Geological Survey of India (GSI)</t>
        </is>
      </c>
    </row>
    <row r="22" ht="20" customHeight="1">
      <c r="A22" s="2" t="inlineStr">
        <is>
          <t>RGNDWM 1° × 1° Quadrangle Framework</t>
        </is>
      </c>
      <c r="B22" s="2" t="inlineStr">
        <is>
          <t>56C (71.3%), 47O (17.5%), 56B (10.7%), 47N (0.5%)</t>
        </is>
      </c>
      <c r="C22" s="2" t="inlineStr">
        <is>
          <t>Quadrangle Index</t>
        </is>
      </c>
      <c r="D22" s="2" t="inlineStr">
        <is>
          <t>NRSC / ISRO Drinking Water Mission</t>
        </is>
      </c>
    </row>
    <row r="23" ht="20" customHeight="1">
      <c r="A23" s="3" t="inlineStr">
        <is>
          <t>Survey of India 1:50,000 Toposheets</t>
        </is>
      </c>
      <c r="B23" s="3" t="inlineStr">
        <is>
          <t>8 Toposheets (56C/1, 56C/2, 47O/4, 56B/13, etc.)</t>
        </is>
      </c>
      <c r="C23" s="3" t="inlineStr">
        <is>
          <t>1:50k Topo Grid</t>
        </is>
      </c>
      <c r="D23" s="3" t="inlineStr">
        <is>
          <t>Survey of India Topo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9" customWidth="1" min="4" max="4"/>
    <col width="17" customWidth="1" min="5" max="5"/>
    <col width="27" customWidth="1" min="6" max="6"/>
  </cols>
  <sheetData>
    <row r="1" ht="28" customHeight="1">
      <c r="A1" s="1" t="inlineStr">
        <is>
          <t>S.No</t>
        </is>
      </c>
      <c r="B1" s="1" t="inlineStr">
        <is>
          <t>Taluka / Block</t>
        </is>
      </c>
      <c r="C1" s="1" t="inlineStr">
        <is>
          <t>Cadastral Village Name</t>
        </is>
      </c>
      <c r="D1" s="1" t="inlineStr">
        <is>
          <t>Area (Hectares)</t>
        </is>
      </c>
      <c r="E1" s="1" t="inlineStr">
        <is>
          <t>Area (km²)</t>
        </is>
      </c>
      <c r="F1" s="1" t="inlineStr">
        <is>
          <t>Share of Tuljapur (%)</t>
        </is>
      </c>
    </row>
    <row r="2" ht="20" customHeight="1">
      <c r="A2" s="10" t="n">
        <v>1</v>
      </c>
      <c r="B2" s="2" t="inlineStr">
        <is>
          <t>Tuljapur</t>
        </is>
      </c>
      <c r="C2" s="2" t="inlineStr"/>
      <c r="D2" s="5" t="n">
        <v>69.90000000000001</v>
      </c>
      <c r="E2" s="12" t="n">
        <v>0.7</v>
      </c>
      <c r="F2" s="11" t="n">
        <v>0.0004664427741350818</v>
      </c>
    </row>
    <row r="3" ht="20" customHeight="1">
      <c r="A3" s="9" t="n">
        <v>2</v>
      </c>
      <c r="B3" s="3" t="inlineStr">
        <is>
          <t>Tuljapur</t>
        </is>
      </c>
      <c r="C3" s="3" t="inlineStr">
        <is>
          <t>Aliyabad</t>
        </is>
      </c>
      <c r="D3" s="13" t="n">
        <v>1367.6</v>
      </c>
      <c r="E3" s="4" t="n">
        <v>13.68</v>
      </c>
      <c r="F3" s="6" t="n">
        <v>0.009115624500239885</v>
      </c>
    </row>
    <row r="4" ht="20" customHeight="1">
      <c r="A4" s="10" t="n">
        <v>3</v>
      </c>
      <c r="B4" s="2" t="inlineStr">
        <is>
          <t>Tuljapur</t>
        </is>
      </c>
      <c r="C4" s="2" t="inlineStr">
        <is>
          <t>Amrutwadi</t>
        </is>
      </c>
      <c r="D4" s="5" t="n">
        <v>697.7</v>
      </c>
      <c r="E4" s="12" t="n">
        <v>6.98</v>
      </c>
      <c r="F4" s="11" t="n">
        <v>0.004651100804946959</v>
      </c>
    </row>
    <row r="5" ht="20" customHeight="1">
      <c r="A5" s="9" t="n">
        <v>4</v>
      </c>
      <c r="B5" s="3" t="inlineStr">
        <is>
          <t>Tuljapur</t>
        </is>
      </c>
      <c r="C5" s="3" t="inlineStr">
        <is>
          <t>Andur</t>
        </is>
      </c>
      <c r="D5" s="13" t="n">
        <v>4740.1</v>
      </c>
      <c r="E5" s="4" t="n">
        <v>47.4</v>
      </c>
      <c r="F5" s="6" t="n">
        <v>0.03158483927714697</v>
      </c>
    </row>
    <row r="6" ht="20" customHeight="1">
      <c r="A6" s="10" t="n">
        <v>5</v>
      </c>
      <c r="B6" s="2" t="inlineStr">
        <is>
          <t>Tuljapur</t>
        </is>
      </c>
      <c r="C6" s="2" t="inlineStr">
        <is>
          <t>Apsinga</t>
        </is>
      </c>
      <c r="D6" s="5" t="n">
        <v>2681.2</v>
      </c>
      <c r="E6" s="12" t="n">
        <v>26.81</v>
      </c>
      <c r="F6" s="11" t="n">
        <v>0.01786475824937363</v>
      </c>
    </row>
    <row r="7" ht="20" customHeight="1">
      <c r="A7" s="9" t="n">
        <v>6</v>
      </c>
      <c r="B7" s="3" t="inlineStr">
        <is>
          <t>Tuljapur</t>
        </is>
      </c>
      <c r="C7" s="3" t="inlineStr">
        <is>
          <t>Arali Bk.</t>
        </is>
      </c>
      <c r="D7" s="13" t="n">
        <v>2346.7</v>
      </c>
      <c r="E7" s="4" t="n">
        <v>23.47</v>
      </c>
      <c r="F7" s="6" t="n">
        <v>0.0156391598699291</v>
      </c>
    </row>
    <row r="8" ht="20" customHeight="1">
      <c r="A8" s="10" t="n">
        <v>7</v>
      </c>
      <c r="B8" s="2" t="inlineStr">
        <is>
          <t>Tuljapur</t>
        </is>
      </c>
      <c r="C8" s="2" t="inlineStr">
        <is>
          <t>Arali Kh.</t>
        </is>
      </c>
      <c r="D8" s="5" t="n">
        <v>888.6</v>
      </c>
      <c r="E8" s="12" t="n">
        <v>8.890000000000001</v>
      </c>
      <c r="F8" s="11" t="n">
        <v>0.005923823231515539</v>
      </c>
    </row>
    <row r="9" ht="20" customHeight="1">
      <c r="A9" s="9" t="n">
        <v>8</v>
      </c>
      <c r="B9" s="3" t="inlineStr">
        <is>
          <t>Tuljapur</t>
        </is>
      </c>
      <c r="C9" s="3" t="inlineStr">
        <is>
          <t>Arbali</t>
        </is>
      </c>
      <c r="D9" s="13" t="n">
        <v>663.6</v>
      </c>
      <c r="E9" s="4" t="n">
        <v>6.64</v>
      </c>
      <c r="F9" s="6" t="n">
        <v>0.004424542886081347</v>
      </c>
    </row>
    <row r="10" ht="20" customHeight="1">
      <c r="A10" s="10" t="n">
        <v>9</v>
      </c>
      <c r="B10" s="2" t="inlineStr">
        <is>
          <t>Tuljapur</t>
        </is>
      </c>
      <c r="C10" s="2" t="inlineStr">
        <is>
          <t>Babhalgaon</t>
        </is>
      </c>
      <c r="D10" s="5" t="n">
        <v>371.5</v>
      </c>
      <c r="E10" s="12" t="n">
        <v>3.71</v>
      </c>
      <c r="F10" s="11" t="n">
        <v>0.002472146702915934</v>
      </c>
    </row>
    <row r="11" ht="20" customHeight="1">
      <c r="A11" s="9" t="n">
        <v>10</v>
      </c>
      <c r="B11" s="3" t="inlineStr">
        <is>
          <t>Tuljapur</t>
        </is>
      </c>
      <c r="C11" s="3" t="inlineStr">
        <is>
          <t>Barul</t>
        </is>
      </c>
      <c r="D11" s="13" t="n">
        <v>2053.3</v>
      </c>
      <c r="E11" s="4" t="n">
        <v>20.53</v>
      </c>
      <c r="F11" s="6" t="n">
        <v>0.01368010021856176</v>
      </c>
    </row>
    <row r="12" ht="20" customHeight="1">
      <c r="A12" s="10" t="n">
        <v>11</v>
      </c>
      <c r="B12" s="2" t="inlineStr">
        <is>
          <t>Tuljapur</t>
        </is>
      </c>
      <c r="C12" s="2" t="inlineStr">
        <is>
          <t>Baswantwadi</t>
        </is>
      </c>
      <c r="D12" s="5" t="n">
        <v>872</v>
      </c>
      <c r="E12" s="12" t="n">
        <v>8.720000000000001</v>
      </c>
      <c r="F12" s="11" t="n">
        <v>0.005810544272082734</v>
      </c>
    </row>
    <row r="13" ht="20" customHeight="1">
      <c r="A13" s="9" t="n">
        <v>12</v>
      </c>
      <c r="B13" s="3" t="inlineStr">
        <is>
          <t>Tuljapur</t>
        </is>
      </c>
      <c r="C13" s="3" t="inlineStr">
        <is>
          <t>Bhatambri</t>
        </is>
      </c>
      <c r="D13" s="13" t="n">
        <v>364.9</v>
      </c>
      <c r="E13" s="4" t="n">
        <v>3.65</v>
      </c>
      <c r="F13" s="6" t="n">
        <v>0.002432165893704355</v>
      </c>
    </row>
    <row r="14" ht="20" customHeight="1">
      <c r="A14" s="10" t="n">
        <v>13</v>
      </c>
      <c r="B14" s="2" t="inlineStr">
        <is>
          <t>Tuljapur</t>
        </is>
      </c>
      <c r="C14" s="2" t="inlineStr">
        <is>
          <t>Bijanwadi</t>
        </is>
      </c>
      <c r="D14" s="5" t="n">
        <v>119.6</v>
      </c>
      <c r="E14" s="12" t="n">
        <v>1.2</v>
      </c>
      <c r="F14" s="11" t="n">
        <v>0.0007996161842315688</v>
      </c>
    </row>
    <row r="15" ht="20" customHeight="1">
      <c r="A15" s="9" t="n">
        <v>14</v>
      </c>
      <c r="B15" s="3" t="inlineStr">
        <is>
          <t>Tuljapur</t>
        </is>
      </c>
      <c r="C15" s="3" t="inlineStr">
        <is>
          <t>Bolegaon</t>
        </is>
      </c>
      <c r="D15" s="13" t="n">
        <v>772.8</v>
      </c>
      <c r="E15" s="4" t="n">
        <v>7.73</v>
      </c>
      <c r="F15" s="6" t="n">
        <v>0.00515086092009169</v>
      </c>
    </row>
    <row r="16" ht="20" customHeight="1">
      <c r="A16" s="10" t="n">
        <v>15</v>
      </c>
      <c r="B16" s="2" t="inlineStr">
        <is>
          <t>Tuljapur</t>
        </is>
      </c>
      <c r="C16" s="2" t="inlineStr">
        <is>
          <t>Borgaon</t>
        </is>
      </c>
      <c r="D16" s="5" t="n">
        <v>867.6</v>
      </c>
      <c r="E16" s="12" t="n">
        <v>8.68</v>
      </c>
      <c r="F16" s="11" t="n">
        <v>0.005783890399275014</v>
      </c>
    </row>
    <row r="17" ht="20" customHeight="1">
      <c r="A17" s="9" t="n">
        <v>16</v>
      </c>
      <c r="B17" s="3" t="inlineStr">
        <is>
          <t>Tuljapur</t>
        </is>
      </c>
      <c r="C17" s="3" t="inlineStr">
        <is>
          <t>Bori</t>
        </is>
      </c>
      <c r="D17" s="13" t="n">
        <v>481.7</v>
      </c>
      <c r="E17" s="4" t="n">
        <v>4.82</v>
      </c>
      <c r="F17" s="6" t="n">
        <v>0.003211791673330135</v>
      </c>
    </row>
    <row r="18" ht="20" customHeight="1">
      <c r="A18" s="10" t="n">
        <v>17</v>
      </c>
      <c r="B18" s="2" t="inlineStr">
        <is>
          <t>Tuljapur</t>
        </is>
      </c>
      <c r="C18" s="2" t="inlineStr">
        <is>
          <t>Bornadwadi</t>
        </is>
      </c>
      <c r="D18" s="5" t="n">
        <v>103.8</v>
      </c>
      <c r="E18" s="12" t="n">
        <v>1.04</v>
      </c>
      <c r="F18" s="11" t="n">
        <v>0.000693000693000693</v>
      </c>
    </row>
    <row r="19" ht="20" customHeight="1">
      <c r="A19" s="9" t="n">
        <v>18</v>
      </c>
      <c r="B19" s="3" t="inlineStr">
        <is>
          <t>Tuljapur</t>
        </is>
      </c>
      <c r="C19" s="3" t="inlineStr">
        <is>
          <t>Bornadwadi (Nal)</t>
        </is>
      </c>
      <c r="D19" s="13" t="n">
        <v>434.4</v>
      </c>
      <c r="E19" s="4" t="n">
        <v>4.34</v>
      </c>
      <c r="F19" s="6" t="n">
        <v>0.002891945199637507</v>
      </c>
    </row>
    <row r="20" ht="20" customHeight="1">
      <c r="A20" s="10" t="n">
        <v>19</v>
      </c>
      <c r="B20" s="2" t="inlineStr">
        <is>
          <t>Tuljapur</t>
        </is>
      </c>
      <c r="C20" s="2" t="inlineStr">
        <is>
          <t>Chavhanwadi</t>
        </is>
      </c>
      <c r="D20" s="5" t="n">
        <v>827.9</v>
      </c>
      <c r="E20" s="12" t="n">
        <v>8.279999999999999</v>
      </c>
      <c r="F20" s="11" t="n">
        <v>0.005517351671197825</v>
      </c>
    </row>
    <row r="21" ht="20" customHeight="1">
      <c r="A21" s="9" t="n">
        <v>20</v>
      </c>
      <c r="B21" s="3" t="inlineStr">
        <is>
          <t>Tuljapur</t>
        </is>
      </c>
      <c r="C21" s="3" t="inlineStr">
        <is>
          <t>Chikundra</t>
        </is>
      </c>
      <c r="D21" s="13" t="n">
        <v>1650.7</v>
      </c>
      <c r="E21" s="4" t="n">
        <v>16.51</v>
      </c>
      <c r="F21" s="6" t="n">
        <v>0.011001386001386</v>
      </c>
    </row>
    <row r="22" ht="20" customHeight="1">
      <c r="A22" s="10" t="n">
        <v>21</v>
      </c>
      <c r="B22" s="2" t="inlineStr">
        <is>
          <t>Tuljapur</t>
        </is>
      </c>
      <c r="C22" s="2" t="inlineStr">
        <is>
          <t>Chincholi</t>
        </is>
      </c>
      <c r="D22" s="5" t="n">
        <v>689.2</v>
      </c>
      <c r="E22" s="12" t="n">
        <v>6.89</v>
      </c>
      <c r="F22" s="11" t="n">
        <v>0.004591129591129591</v>
      </c>
    </row>
    <row r="23" ht="20" customHeight="1">
      <c r="A23" s="9" t="n">
        <v>22</v>
      </c>
      <c r="B23" s="3" t="inlineStr">
        <is>
          <t>Tuljapur</t>
        </is>
      </c>
      <c r="C23" s="3" t="inlineStr">
        <is>
          <t>Chivari</t>
        </is>
      </c>
      <c r="D23" s="13" t="n">
        <v>2377.7</v>
      </c>
      <c r="E23" s="4" t="n">
        <v>23.78</v>
      </c>
      <c r="F23" s="6" t="n">
        <v>0.01584572738418892</v>
      </c>
    </row>
    <row r="24" ht="20" customHeight="1">
      <c r="A24" s="10" t="n">
        <v>23</v>
      </c>
      <c r="B24" s="2" t="inlineStr">
        <is>
          <t>Tuljapur</t>
        </is>
      </c>
      <c r="C24" s="2" t="inlineStr">
        <is>
          <t>Dahitna</t>
        </is>
      </c>
      <c r="D24" s="5" t="n">
        <v>765</v>
      </c>
      <c r="E24" s="12" t="n">
        <v>7.65</v>
      </c>
      <c r="F24" s="11" t="n">
        <v>0.005097553174476251</v>
      </c>
    </row>
    <row r="25" ht="20" customHeight="1">
      <c r="A25" s="9" t="n">
        <v>24</v>
      </c>
      <c r="B25" s="3" t="inlineStr">
        <is>
          <t>Tuljapur</t>
        </is>
      </c>
      <c r="C25" s="3" t="inlineStr">
        <is>
          <t>Dahiwadi</t>
        </is>
      </c>
      <c r="D25" s="13" t="n">
        <v>2365.6</v>
      </c>
      <c r="E25" s="4" t="n">
        <v>23.66</v>
      </c>
      <c r="F25" s="6" t="n">
        <v>0.01576576576576576</v>
      </c>
    </row>
    <row r="26" ht="20" customHeight="1">
      <c r="A26" s="10" t="n">
        <v>25</v>
      </c>
      <c r="B26" s="2" t="inlineStr">
        <is>
          <t>Tuljapur</t>
        </is>
      </c>
      <c r="C26" s="2" t="inlineStr">
        <is>
          <t>Deokurli</t>
        </is>
      </c>
      <c r="D26" s="5" t="n">
        <v>2256.8</v>
      </c>
      <c r="E26" s="12" t="n">
        <v>22.57</v>
      </c>
      <c r="F26" s="11" t="n">
        <v>0.01503944773175542</v>
      </c>
    </row>
    <row r="27" ht="20" customHeight="1">
      <c r="A27" s="9" t="n">
        <v>26</v>
      </c>
      <c r="B27" s="3" t="inlineStr">
        <is>
          <t>Tuljapur</t>
        </is>
      </c>
      <c r="C27" s="3" t="inlineStr">
        <is>
          <t>Deosinga (Tul)</t>
        </is>
      </c>
      <c r="D27" s="13" t="n">
        <v>1290.1</v>
      </c>
      <c r="E27" s="4" t="n">
        <v>12.9</v>
      </c>
      <c r="F27" s="6" t="n">
        <v>0.008595873980489365</v>
      </c>
    </row>
    <row r="28" ht="20" customHeight="1">
      <c r="A28" s="10" t="n">
        <v>27</v>
      </c>
      <c r="B28" s="2" t="inlineStr">
        <is>
          <t>Tuljapur</t>
        </is>
      </c>
      <c r="C28" s="2" t="inlineStr">
        <is>
          <t>Devsinga Nal</t>
        </is>
      </c>
      <c r="D28" s="5" t="n">
        <v>377.2</v>
      </c>
      <c r="E28" s="12" t="n">
        <v>3.77</v>
      </c>
      <c r="F28" s="11" t="n">
        <v>0.002512127512127512</v>
      </c>
    </row>
    <row r="29" ht="20" customHeight="1">
      <c r="A29" s="9" t="n">
        <v>28</v>
      </c>
      <c r="B29" s="3" t="inlineStr">
        <is>
          <t>Tuljapur</t>
        </is>
      </c>
      <c r="C29" s="3" t="inlineStr">
        <is>
          <t>Dhanegaon</t>
        </is>
      </c>
      <c r="D29" s="13" t="n">
        <v>789.7</v>
      </c>
      <c r="E29" s="4" t="n">
        <v>7.9</v>
      </c>
      <c r="F29" s="6" t="n">
        <v>0.005264139879524495</v>
      </c>
    </row>
    <row r="30" ht="20" customHeight="1">
      <c r="A30" s="10" t="n">
        <v>29</v>
      </c>
      <c r="B30" s="2" t="inlineStr">
        <is>
          <t>Tuljapur</t>
        </is>
      </c>
      <c r="C30" s="2" t="inlineStr">
        <is>
          <t>Dhangarwadi</t>
        </is>
      </c>
      <c r="D30" s="5" t="n">
        <v>993.4</v>
      </c>
      <c r="E30" s="12" t="n">
        <v>9.93</v>
      </c>
      <c r="F30" s="11" t="n">
        <v>0.006616823924516232</v>
      </c>
    </row>
    <row r="31" ht="20" customHeight="1">
      <c r="A31" s="9" t="n">
        <v>30</v>
      </c>
      <c r="B31" s="3" t="inlineStr">
        <is>
          <t>Tuljapur</t>
        </is>
      </c>
      <c r="C31" s="3" t="inlineStr">
        <is>
          <t>Dhekri</t>
        </is>
      </c>
      <c r="D31" s="13" t="n">
        <v>1083.3</v>
      </c>
      <c r="E31" s="4" t="n">
        <v>10.83</v>
      </c>
      <c r="F31" s="6" t="n">
        <v>0.007216536062689909</v>
      </c>
    </row>
    <row r="32" ht="20" customHeight="1">
      <c r="A32" s="10" t="n">
        <v>31</v>
      </c>
      <c r="B32" s="2" t="inlineStr">
        <is>
          <t>Tuljapur</t>
        </is>
      </c>
      <c r="C32" s="2" t="inlineStr">
        <is>
          <t>Dhotri</t>
        </is>
      </c>
      <c r="D32" s="5" t="n">
        <v>1590.5</v>
      </c>
      <c r="E32" s="12" t="n">
        <v>15.9</v>
      </c>
      <c r="F32" s="11" t="n">
        <v>0.01059491444106829</v>
      </c>
    </row>
    <row r="33" ht="20" customHeight="1">
      <c r="A33" s="9" t="n">
        <v>32</v>
      </c>
      <c r="B33" s="3" t="inlineStr">
        <is>
          <t>Tuljapur</t>
        </is>
      </c>
      <c r="C33" s="3" t="inlineStr">
        <is>
          <t>Dindegaon</t>
        </is>
      </c>
      <c r="D33" s="13" t="n">
        <v>774.4</v>
      </c>
      <c r="E33" s="4" t="n">
        <v>7.74</v>
      </c>
      <c r="F33" s="6" t="n">
        <v>0.005157524388293619</v>
      </c>
    </row>
    <row r="34" ht="20" customHeight="1">
      <c r="A34" s="10" t="n">
        <v>33</v>
      </c>
      <c r="B34" s="2" t="inlineStr">
        <is>
          <t>Tuljapur</t>
        </is>
      </c>
      <c r="C34" s="2" t="inlineStr">
        <is>
          <t>Fulwadi</t>
        </is>
      </c>
      <c r="D34" s="5" t="n">
        <v>880</v>
      </c>
      <c r="E34" s="12" t="n">
        <v>8.800000000000001</v>
      </c>
      <c r="F34" s="11" t="n">
        <v>0.005863852017698172</v>
      </c>
    </row>
    <row r="35" ht="20" customHeight="1">
      <c r="A35" s="9" t="n">
        <v>34</v>
      </c>
      <c r="B35" s="3" t="inlineStr">
        <is>
          <t>Tuljapur</t>
        </is>
      </c>
      <c r="C35" s="3" t="inlineStr">
        <is>
          <t>Ganjewadi</t>
        </is>
      </c>
      <c r="D35" s="13" t="n">
        <v>939.3</v>
      </c>
      <c r="E35" s="4" t="n">
        <v>9.390000000000001</v>
      </c>
      <c r="F35" s="6" t="n">
        <v>0.006256996641612026</v>
      </c>
    </row>
    <row r="36" ht="20" customHeight="1">
      <c r="A36" s="10" t="n">
        <v>35</v>
      </c>
      <c r="B36" s="2" t="inlineStr">
        <is>
          <t>Tuljapur</t>
        </is>
      </c>
      <c r="C36" s="2" t="inlineStr">
        <is>
          <t>Gawalewadi</t>
        </is>
      </c>
      <c r="D36" s="5" t="n">
        <v>516.8</v>
      </c>
      <c r="E36" s="12" t="n">
        <v>5.17</v>
      </c>
      <c r="F36" s="11" t="n">
        <v>0.003445013060397676</v>
      </c>
    </row>
    <row r="37" ht="20" customHeight="1">
      <c r="A37" s="9" t="n">
        <v>36</v>
      </c>
      <c r="B37" s="3" t="inlineStr">
        <is>
          <t>Tuljapur</t>
        </is>
      </c>
      <c r="C37" s="3" t="inlineStr">
        <is>
          <t>Ghandora</t>
        </is>
      </c>
      <c r="D37" s="13" t="n">
        <v>1541.5</v>
      </c>
      <c r="E37" s="4" t="n">
        <v>15.41</v>
      </c>
      <c r="F37" s="6" t="n">
        <v>0.01026840449917373</v>
      </c>
    </row>
    <row r="38" ht="20" customHeight="1">
      <c r="A38" s="10" t="n">
        <v>37</v>
      </c>
      <c r="B38" s="2" t="inlineStr">
        <is>
          <t>Tuljapur</t>
        </is>
      </c>
      <c r="C38" s="2" t="inlineStr">
        <is>
          <t>Ghattewadi</t>
        </is>
      </c>
      <c r="D38" s="5" t="n">
        <v>754.1</v>
      </c>
      <c r="E38" s="12" t="n">
        <v>7.54</v>
      </c>
      <c r="F38" s="11" t="n">
        <v>0.005024255024255024</v>
      </c>
    </row>
    <row r="39" ht="20" customHeight="1">
      <c r="A39" s="9" t="n">
        <v>38</v>
      </c>
      <c r="B39" s="3" t="inlineStr">
        <is>
          <t>Tuljapur</t>
        </is>
      </c>
      <c r="C39" s="3" t="inlineStr">
        <is>
          <t>Gondhalwadi</t>
        </is>
      </c>
      <c r="D39" s="13" t="n">
        <v>649.9</v>
      </c>
      <c r="E39" s="4" t="n">
        <v>6.5</v>
      </c>
      <c r="F39" s="6" t="n">
        <v>0.004331254331254331</v>
      </c>
    </row>
    <row r="40" ht="20" customHeight="1">
      <c r="A40" s="10" t="n">
        <v>39</v>
      </c>
      <c r="B40" s="2" t="inlineStr">
        <is>
          <t>Tuljapur</t>
        </is>
      </c>
      <c r="C40" s="2" t="inlineStr">
        <is>
          <t>Gujnur</t>
        </is>
      </c>
      <c r="D40" s="5" t="n">
        <v>449.5</v>
      </c>
      <c r="E40" s="12" t="n">
        <v>4.49</v>
      </c>
      <c r="F40" s="11" t="n">
        <v>0.002991897222666454</v>
      </c>
    </row>
    <row r="41" ht="20" customHeight="1">
      <c r="A41" s="9" t="n">
        <v>40</v>
      </c>
      <c r="B41" s="3" t="inlineStr">
        <is>
          <t>Tuljapur</t>
        </is>
      </c>
      <c r="C41" s="3" t="inlineStr">
        <is>
          <t>Gulhalli</t>
        </is>
      </c>
      <c r="D41" s="13" t="n">
        <v>242.9</v>
      </c>
      <c r="E41" s="4" t="n">
        <v>2.43</v>
      </c>
      <c r="F41" s="6" t="n">
        <v>0.001619222773068927</v>
      </c>
    </row>
    <row r="42" ht="20" customHeight="1">
      <c r="A42" s="10" t="n">
        <v>41</v>
      </c>
      <c r="B42" s="2" t="inlineStr">
        <is>
          <t>Tuljapur</t>
        </is>
      </c>
      <c r="C42" s="2" t="inlineStr">
        <is>
          <t>Haglur</t>
        </is>
      </c>
      <c r="D42" s="5" t="n">
        <v>1104.2</v>
      </c>
      <c r="E42" s="12" t="n">
        <v>11.04</v>
      </c>
      <c r="F42" s="11" t="n">
        <v>0.007356468894930432</v>
      </c>
    </row>
    <row r="43" ht="20" customHeight="1">
      <c r="A43" s="9" t="n">
        <v>42</v>
      </c>
      <c r="B43" s="3" t="inlineStr">
        <is>
          <t>Tuljapur</t>
        </is>
      </c>
      <c r="C43" s="3" t="inlineStr">
        <is>
          <t xml:space="preserve">Hangarga </t>
        </is>
      </c>
      <c r="D43" s="13" t="n">
        <v>735.7</v>
      </c>
      <c r="E43" s="4" t="n">
        <v>7.36</v>
      </c>
      <c r="F43" s="6" t="n">
        <v>0.004904312596620289</v>
      </c>
    </row>
    <row r="44" ht="20" customHeight="1">
      <c r="A44" s="10" t="n">
        <v>43</v>
      </c>
      <c r="B44" s="2" t="inlineStr">
        <is>
          <t>Tuljapur</t>
        </is>
      </c>
      <c r="C44" s="2" t="inlineStr">
        <is>
          <t>Hangarga (Nal)</t>
        </is>
      </c>
      <c r="D44" s="5" t="n">
        <v>1930.2</v>
      </c>
      <c r="E44" s="12" t="n">
        <v>19.3</v>
      </c>
      <c r="F44" s="11" t="n">
        <v>0.0128604936297244</v>
      </c>
    </row>
    <row r="45" ht="20" customHeight="1">
      <c r="A45" s="9" t="n">
        <v>44</v>
      </c>
      <c r="B45" s="3" t="inlineStr">
        <is>
          <t>Tuljapur</t>
        </is>
      </c>
      <c r="C45" s="3" t="inlineStr">
        <is>
          <t>Hippargatad</t>
        </is>
      </c>
      <c r="D45" s="13" t="n">
        <v>1021.1</v>
      </c>
      <c r="E45" s="4" t="n">
        <v>10.21</v>
      </c>
      <c r="F45" s="6" t="n">
        <v>0.006803401034170265</v>
      </c>
    </row>
    <row r="46" ht="20" customHeight="1">
      <c r="A46" s="10" t="n">
        <v>45</v>
      </c>
      <c r="B46" s="2" t="inlineStr">
        <is>
          <t>Tuljapur</t>
        </is>
      </c>
      <c r="C46" s="2" t="inlineStr">
        <is>
          <t>Honala</t>
        </is>
      </c>
      <c r="D46" s="5" t="n">
        <v>310.5</v>
      </c>
      <c r="E46" s="12" t="n">
        <v>3.11</v>
      </c>
      <c r="F46" s="11" t="n">
        <v>0.002072338610800149</v>
      </c>
    </row>
    <row r="47" ht="20" customHeight="1">
      <c r="A47" s="9" t="n">
        <v>46</v>
      </c>
      <c r="B47" s="3" t="inlineStr">
        <is>
          <t>Tuljapur</t>
        </is>
      </c>
      <c r="C47" s="3" t="inlineStr">
        <is>
          <t>Horti</t>
        </is>
      </c>
      <c r="D47" s="13" t="n">
        <v>2243</v>
      </c>
      <c r="E47" s="4" t="n">
        <v>22.43</v>
      </c>
      <c r="F47" s="6" t="n">
        <v>0.01494615917692841</v>
      </c>
    </row>
    <row r="48" ht="20" customHeight="1">
      <c r="A48" s="10" t="n">
        <v>47</v>
      </c>
      <c r="B48" s="2" t="inlineStr">
        <is>
          <t>Tuljapur</t>
        </is>
      </c>
      <c r="C48" s="2" t="inlineStr">
        <is>
          <t>Indiranagar</t>
        </is>
      </c>
      <c r="D48" s="5" t="n">
        <v>667.9</v>
      </c>
      <c r="E48" s="12" t="n">
        <v>6.68</v>
      </c>
      <c r="F48" s="11" t="n">
        <v>0.004451196758889066</v>
      </c>
    </row>
    <row r="49" ht="20" customHeight="1">
      <c r="A49" s="9" t="n">
        <v>48</v>
      </c>
      <c r="B49" s="3" t="inlineStr">
        <is>
          <t>Tuljapur</t>
        </is>
      </c>
      <c r="C49" s="3" t="inlineStr">
        <is>
          <t>Itkal</t>
        </is>
      </c>
      <c r="D49" s="13" t="n">
        <v>1189.3</v>
      </c>
      <c r="E49" s="4" t="n">
        <v>11.89</v>
      </c>
      <c r="F49" s="6" t="n">
        <v>0.007922863692094462</v>
      </c>
    </row>
    <row r="50" ht="20" customHeight="1">
      <c r="A50" s="10" t="n">
        <v>49</v>
      </c>
      <c r="B50" s="2" t="inlineStr">
        <is>
          <t>Tuljapur</t>
        </is>
      </c>
      <c r="C50" s="2" t="inlineStr">
        <is>
          <t>Jalkot</t>
        </is>
      </c>
      <c r="D50" s="5" t="n">
        <v>1377.5</v>
      </c>
      <c r="E50" s="12" t="n">
        <v>13.77</v>
      </c>
      <c r="F50" s="11" t="n">
        <v>0.009175595714057252</v>
      </c>
    </row>
    <row r="51" ht="20" customHeight="1">
      <c r="A51" s="9" t="n">
        <v>50</v>
      </c>
      <c r="B51" s="3" t="inlineStr">
        <is>
          <t>Tuljapur</t>
        </is>
      </c>
      <c r="C51" s="3" t="inlineStr">
        <is>
          <t>Jalkotwadi</t>
        </is>
      </c>
      <c r="D51" s="13" t="n">
        <v>364.5</v>
      </c>
      <c r="E51" s="4" t="n">
        <v>3.65</v>
      </c>
      <c r="F51" s="6" t="n">
        <v>0.002432165893704355</v>
      </c>
    </row>
    <row r="52" ht="20" customHeight="1">
      <c r="A52" s="10" t="n">
        <v>51</v>
      </c>
      <c r="B52" s="2" t="inlineStr">
        <is>
          <t>Tuljapur</t>
        </is>
      </c>
      <c r="C52" s="2" t="inlineStr">
        <is>
          <t>Jalkotwadi</t>
        </is>
      </c>
      <c r="D52" s="5" t="n">
        <v>1620.6</v>
      </c>
      <c r="E52" s="12" t="n">
        <v>16.21</v>
      </c>
      <c r="F52" s="11" t="n">
        <v>0.01080148195532811</v>
      </c>
    </row>
    <row r="53" ht="20" customHeight="1">
      <c r="A53" s="9" t="n">
        <v>52</v>
      </c>
      <c r="B53" s="3" t="inlineStr">
        <is>
          <t>Tuljapur</t>
        </is>
      </c>
      <c r="C53" s="3" t="inlineStr">
        <is>
          <t>Jawalga Mesai</t>
        </is>
      </c>
      <c r="D53" s="13" t="n">
        <v>1214.9</v>
      </c>
      <c r="E53" s="4" t="n">
        <v>12.15</v>
      </c>
      <c r="F53" s="6" t="n">
        <v>0.008096113865344635</v>
      </c>
    </row>
    <row r="54" ht="20" customHeight="1">
      <c r="A54" s="10" t="n">
        <v>53</v>
      </c>
      <c r="B54" s="2" t="inlineStr">
        <is>
          <t>Tuljapur</t>
        </is>
      </c>
      <c r="C54" s="2" t="inlineStr">
        <is>
          <t>Kadamwadi</t>
        </is>
      </c>
      <c r="D54" s="5" t="n">
        <v>546.4</v>
      </c>
      <c r="E54" s="12" t="n">
        <v>5.46</v>
      </c>
      <c r="F54" s="11" t="n">
        <v>0.003638253638253638</v>
      </c>
    </row>
    <row r="55" ht="20" customHeight="1">
      <c r="A55" s="9" t="n">
        <v>54</v>
      </c>
      <c r="B55" s="3" t="inlineStr">
        <is>
          <t>Tuljapur</t>
        </is>
      </c>
      <c r="C55" s="3" t="inlineStr">
        <is>
          <t>Kakramba</t>
        </is>
      </c>
      <c r="D55" s="13" t="n">
        <v>2163</v>
      </c>
      <c r="E55" s="4" t="n">
        <v>21.63</v>
      </c>
      <c r="F55" s="6" t="n">
        <v>0.01441308172077403</v>
      </c>
    </row>
    <row r="56" ht="20" customHeight="1">
      <c r="A56" s="10" t="n">
        <v>55</v>
      </c>
      <c r="B56" s="2" t="inlineStr">
        <is>
          <t>Tuljapur</t>
        </is>
      </c>
      <c r="C56" s="2" t="inlineStr">
        <is>
          <t>Kakrambawadi</t>
        </is>
      </c>
      <c r="D56" s="5" t="n">
        <v>461.4</v>
      </c>
      <c r="E56" s="12" t="n">
        <v>4.61</v>
      </c>
      <c r="F56" s="11" t="n">
        <v>0.003071858841089611</v>
      </c>
    </row>
    <row r="57" ht="20" customHeight="1">
      <c r="A57" s="9" t="n">
        <v>56</v>
      </c>
      <c r="B57" s="3" t="inlineStr">
        <is>
          <t>Tuljapur</t>
        </is>
      </c>
      <c r="C57" s="3" t="inlineStr">
        <is>
          <t>Kalegaon</t>
        </is>
      </c>
      <c r="D57" s="13" t="n">
        <v>681.3</v>
      </c>
      <c r="E57" s="4" t="n">
        <v>6.81</v>
      </c>
      <c r="F57" s="6" t="n">
        <v>0.004537821845514153</v>
      </c>
    </row>
    <row r="58" ht="20" customHeight="1">
      <c r="A58" s="10" t="n">
        <v>57</v>
      </c>
      <c r="B58" s="2" t="inlineStr">
        <is>
          <t>Tuljapur</t>
        </is>
      </c>
      <c r="C58" s="2" t="inlineStr">
        <is>
          <t>Kamtha</t>
        </is>
      </c>
      <c r="D58" s="5" t="n">
        <v>1148.1</v>
      </c>
      <c r="E58" s="12" t="n">
        <v>11.48</v>
      </c>
      <c r="F58" s="11" t="n">
        <v>0.007649661495815342</v>
      </c>
    </row>
    <row r="59" ht="20" customHeight="1">
      <c r="A59" s="9" t="n">
        <v>58</v>
      </c>
      <c r="B59" s="3" t="inlineStr">
        <is>
          <t>Tuljapur</t>
        </is>
      </c>
      <c r="C59" s="3" t="inlineStr">
        <is>
          <t>Karla</t>
        </is>
      </c>
      <c r="D59" s="13" t="n">
        <v>1544.9</v>
      </c>
      <c r="E59" s="4" t="n">
        <v>15.45</v>
      </c>
      <c r="F59" s="6" t="n">
        <v>0.01029505837198145</v>
      </c>
    </row>
    <row r="60" ht="20" customHeight="1">
      <c r="A60" s="10" t="n">
        <v>59</v>
      </c>
      <c r="B60" s="2" t="inlineStr">
        <is>
          <t>Tuljapur</t>
        </is>
      </c>
      <c r="C60" s="2" t="inlineStr">
        <is>
          <t>Kasai</t>
        </is>
      </c>
      <c r="D60" s="5" t="n">
        <v>1233.5</v>
      </c>
      <c r="E60" s="12" t="n">
        <v>12.34</v>
      </c>
      <c r="F60" s="11" t="n">
        <v>0.0082227197611813</v>
      </c>
    </row>
    <row r="61" ht="20" customHeight="1">
      <c r="A61" s="9" t="n">
        <v>60</v>
      </c>
      <c r="B61" s="3" t="inlineStr">
        <is>
          <t>Tuljapur</t>
        </is>
      </c>
      <c r="C61" s="3" t="inlineStr">
        <is>
          <t>Katgaon</t>
        </is>
      </c>
      <c r="D61" s="13" t="n">
        <v>3572.6</v>
      </c>
      <c r="E61" s="4" t="n">
        <v>35.73</v>
      </c>
      <c r="F61" s="6" t="n">
        <v>0.02380857188549496</v>
      </c>
    </row>
    <row r="62" ht="20" customHeight="1">
      <c r="A62" s="10" t="n">
        <v>61</v>
      </c>
      <c r="B62" s="2" t="inlineStr">
        <is>
          <t>Tuljapur</t>
        </is>
      </c>
      <c r="C62" s="2" t="inlineStr">
        <is>
          <t>Kati</t>
        </is>
      </c>
      <c r="D62" s="5" t="n">
        <v>4720</v>
      </c>
      <c r="E62" s="12" t="n">
        <v>47.2</v>
      </c>
      <c r="F62" s="11" t="n">
        <v>0.03145156991310838</v>
      </c>
    </row>
    <row r="63" ht="20" customHeight="1">
      <c r="A63" s="9" t="n">
        <v>62</v>
      </c>
      <c r="B63" s="3" t="inlineStr">
        <is>
          <t>Tuljapur</t>
        </is>
      </c>
      <c r="C63" s="3" t="inlineStr">
        <is>
          <t>Katri</t>
        </is>
      </c>
      <c r="D63" s="13" t="n">
        <v>814.3</v>
      </c>
      <c r="E63" s="4" t="n">
        <v>8.140000000000001</v>
      </c>
      <c r="F63" s="6" t="n">
        <v>0.005424063116370809</v>
      </c>
    </row>
    <row r="64" ht="20" customHeight="1">
      <c r="A64" s="10" t="n">
        <v>63</v>
      </c>
      <c r="B64" s="2" t="inlineStr">
        <is>
          <t>Tuljapur</t>
        </is>
      </c>
      <c r="C64" s="2" t="inlineStr">
        <is>
          <t>Kemwadi</t>
        </is>
      </c>
      <c r="D64" s="5" t="n">
        <v>1964</v>
      </c>
      <c r="E64" s="12" t="n">
        <v>19.64</v>
      </c>
      <c r="F64" s="11" t="n">
        <v>0.01308705154859001</v>
      </c>
    </row>
    <row r="65" ht="20" customHeight="1">
      <c r="A65" s="9" t="n">
        <v>64</v>
      </c>
      <c r="B65" s="3" t="inlineStr">
        <is>
          <t>Tuljapur</t>
        </is>
      </c>
      <c r="C65" s="3" t="inlineStr">
        <is>
          <t>Kemwadi</t>
        </is>
      </c>
      <c r="D65" s="13" t="n">
        <v>11.2</v>
      </c>
      <c r="E65" s="4" t="n">
        <v>0.11</v>
      </c>
      <c r="F65" s="6" t="n">
        <v>7.329815022122714e-05</v>
      </c>
    </row>
    <row r="66" ht="20" customHeight="1">
      <c r="A66" s="10" t="n">
        <v>65</v>
      </c>
      <c r="B66" s="2" t="inlineStr">
        <is>
          <t>Tuljapur</t>
        </is>
      </c>
      <c r="C66" s="2" t="inlineStr">
        <is>
          <t>Kerur</t>
        </is>
      </c>
      <c r="D66" s="5" t="n">
        <v>280.9</v>
      </c>
      <c r="E66" s="12" t="n">
        <v>2.81</v>
      </c>
      <c r="F66" s="11" t="n">
        <v>0.001872434564742257</v>
      </c>
    </row>
    <row r="67" ht="20" customHeight="1">
      <c r="A67" s="9" t="n">
        <v>66</v>
      </c>
      <c r="B67" s="3" t="inlineStr">
        <is>
          <t>Tuljapur</t>
        </is>
      </c>
      <c r="C67" s="3" t="inlineStr">
        <is>
          <t>Keshegaon</t>
        </is>
      </c>
      <c r="D67" s="13" t="n">
        <v>2028.2</v>
      </c>
      <c r="E67" s="4" t="n">
        <v>20.28</v>
      </c>
      <c r="F67" s="6" t="n">
        <v>0.01351351351351351</v>
      </c>
    </row>
    <row r="68" ht="20" customHeight="1">
      <c r="A68" s="10" t="n">
        <v>67</v>
      </c>
      <c r="B68" s="2" t="inlineStr">
        <is>
          <t>Tuljapur</t>
        </is>
      </c>
      <c r="C68" s="2" t="inlineStr">
        <is>
          <t>Khadki</t>
        </is>
      </c>
      <c r="D68" s="5" t="n">
        <v>915.7</v>
      </c>
      <c r="E68" s="12" t="n">
        <v>9.16</v>
      </c>
      <c r="F68" s="11" t="n">
        <v>0.006103736872967642</v>
      </c>
    </row>
    <row r="69" ht="20" customHeight="1">
      <c r="A69" s="9" t="n">
        <v>68</v>
      </c>
      <c r="B69" s="3" t="inlineStr">
        <is>
          <t>Tuljapur</t>
        </is>
      </c>
      <c r="C69" s="3" t="inlineStr">
        <is>
          <t>Khanapur</t>
        </is>
      </c>
      <c r="D69" s="13" t="n">
        <v>1120.4</v>
      </c>
      <c r="E69" s="4" t="n">
        <v>11.2</v>
      </c>
      <c r="F69" s="6" t="n">
        <v>0.007463084386161309</v>
      </c>
    </row>
    <row r="70" ht="20" customHeight="1">
      <c r="A70" s="10" t="n">
        <v>69</v>
      </c>
      <c r="B70" s="2" t="inlineStr">
        <is>
          <t>Tuljapur</t>
        </is>
      </c>
      <c r="C70" s="2" t="inlineStr">
        <is>
          <t>Khandala</t>
        </is>
      </c>
      <c r="D70" s="5" t="n">
        <v>876.9</v>
      </c>
      <c r="E70" s="12" t="n">
        <v>8.77</v>
      </c>
      <c r="F70" s="11" t="n">
        <v>0.005843861613092382</v>
      </c>
    </row>
    <row r="71" ht="20" customHeight="1">
      <c r="A71" s="9" t="n">
        <v>70</v>
      </c>
      <c r="B71" s="3" t="inlineStr">
        <is>
          <t>Tuljapur</t>
        </is>
      </c>
      <c r="C71" s="3" t="inlineStr">
        <is>
          <t>Khudawadi</t>
        </is>
      </c>
      <c r="D71" s="13" t="n">
        <v>545.2</v>
      </c>
      <c r="E71" s="4" t="n">
        <v>5.45</v>
      </c>
      <c r="F71" s="6" t="n">
        <v>0.003631590170051708</v>
      </c>
    </row>
    <row r="72" ht="20" customHeight="1">
      <c r="A72" s="10" t="n">
        <v>71</v>
      </c>
      <c r="B72" s="2" t="inlineStr">
        <is>
          <t>Tuljapur</t>
        </is>
      </c>
      <c r="C72" s="2" t="inlineStr">
        <is>
          <t>Khuttewadi</t>
        </is>
      </c>
      <c r="D72" s="5" t="n">
        <v>994.9</v>
      </c>
      <c r="E72" s="12" t="n">
        <v>9.949999999999999</v>
      </c>
      <c r="F72" s="11" t="n">
        <v>0.006630150860920091</v>
      </c>
    </row>
    <row r="73" ht="20" customHeight="1">
      <c r="A73" s="9" t="n">
        <v>72</v>
      </c>
      <c r="B73" s="3" t="inlineStr">
        <is>
          <t>Tuljapur</t>
        </is>
      </c>
      <c r="C73" s="3" t="inlineStr">
        <is>
          <t>Kilaj</t>
        </is>
      </c>
      <c r="D73" s="13" t="n">
        <v>2331.4</v>
      </c>
      <c r="E73" s="4" t="n">
        <v>23.31</v>
      </c>
      <c r="F73" s="6" t="n">
        <v>0.01553254437869822</v>
      </c>
    </row>
    <row r="74" ht="20" customHeight="1">
      <c r="A74" s="10" t="n">
        <v>73</v>
      </c>
      <c r="B74" s="2" t="inlineStr">
        <is>
          <t>Tuljapur</t>
        </is>
      </c>
      <c r="C74" s="2" t="inlineStr">
        <is>
          <t>Korewadi</t>
        </is>
      </c>
      <c r="D74" s="5" t="n">
        <v>643.8</v>
      </c>
      <c r="E74" s="12" t="n">
        <v>6.44</v>
      </c>
      <c r="F74" s="11" t="n">
        <v>0.004291273522042753</v>
      </c>
    </row>
    <row r="75" ht="20" customHeight="1">
      <c r="A75" s="9" t="n">
        <v>74</v>
      </c>
      <c r="B75" s="3" t="inlineStr">
        <is>
          <t>Tuljapur</t>
        </is>
      </c>
      <c r="C75" s="3" t="inlineStr">
        <is>
          <t>Kumbhari</t>
        </is>
      </c>
      <c r="D75" s="13" t="n">
        <v>935.4</v>
      </c>
      <c r="E75" s="4" t="n">
        <v>9.35</v>
      </c>
      <c r="F75" s="6" t="n">
        <v>0.006230342768804306</v>
      </c>
    </row>
    <row r="76" ht="20" customHeight="1">
      <c r="A76" s="10" t="n">
        <v>75</v>
      </c>
      <c r="B76" s="2" t="inlineStr">
        <is>
          <t>Tuljapur</t>
        </is>
      </c>
      <c r="C76" s="2" t="inlineStr">
        <is>
          <t>Kunsawali</t>
        </is>
      </c>
      <c r="D76" s="5" t="n">
        <v>601.3</v>
      </c>
      <c r="E76" s="12" t="n">
        <v>6.01</v>
      </c>
      <c r="F76" s="11" t="n">
        <v>0.004004744389359774</v>
      </c>
    </row>
    <row r="77" ht="20" customHeight="1">
      <c r="A77" s="9" t="n">
        <v>76</v>
      </c>
      <c r="B77" s="3" t="inlineStr">
        <is>
          <t>Tuljapur</t>
        </is>
      </c>
      <c r="C77" s="3" t="inlineStr">
        <is>
          <t>Lohagaon</t>
        </is>
      </c>
      <c r="D77" s="13" t="n">
        <v>1787</v>
      </c>
      <c r="E77" s="4" t="n">
        <v>17.87</v>
      </c>
      <c r="F77" s="6" t="n">
        <v>0.01190761767684845</v>
      </c>
    </row>
    <row r="78" ht="20" customHeight="1">
      <c r="A78" s="10" t="n">
        <v>77</v>
      </c>
      <c r="B78" s="2" t="inlineStr">
        <is>
          <t>Tuljapur</t>
        </is>
      </c>
      <c r="C78" s="2" t="inlineStr">
        <is>
          <t>Malumbra</t>
        </is>
      </c>
      <c r="D78" s="5" t="n">
        <v>1519.7</v>
      </c>
      <c r="E78" s="12" t="n">
        <v>15.2</v>
      </c>
      <c r="F78" s="11" t="n">
        <v>0.0101284716669332</v>
      </c>
    </row>
    <row r="79" ht="20" customHeight="1">
      <c r="A79" s="9" t="n">
        <v>78</v>
      </c>
      <c r="B79" s="3" t="inlineStr">
        <is>
          <t>Tuljapur</t>
        </is>
      </c>
      <c r="C79" s="3" t="inlineStr">
        <is>
          <t>Manewadi</t>
        </is>
      </c>
      <c r="D79" s="13" t="n">
        <v>568.3</v>
      </c>
      <c r="E79" s="4" t="n">
        <v>5.68</v>
      </c>
      <c r="F79" s="6" t="n">
        <v>0.003784849938696092</v>
      </c>
    </row>
    <row r="80" ht="20" customHeight="1">
      <c r="A80" s="10" t="n">
        <v>79</v>
      </c>
      <c r="B80" s="2" t="inlineStr">
        <is>
          <t>Tuljapur</t>
        </is>
      </c>
      <c r="C80" s="2" t="inlineStr">
        <is>
          <t>Mangrul</t>
        </is>
      </c>
      <c r="D80" s="5" t="n">
        <v>1938.2</v>
      </c>
      <c r="E80" s="12" t="n">
        <v>19.38</v>
      </c>
      <c r="F80" s="11" t="n">
        <v>0.01291380137533984</v>
      </c>
    </row>
    <row r="81" ht="20" customHeight="1">
      <c r="A81" s="9" t="n">
        <v>80</v>
      </c>
      <c r="B81" s="3" t="inlineStr">
        <is>
          <t>Tuljapur</t>
        </is>
      </c>
      <c r="C81" s="3" t="inlineStr">
        <is>
          <t>Manmodi</t>
        </is>
      </c>
      <c r="D81" s="13" t="n">
        <v>743.5</v>
      </c>
      <c r="E81" s="4" t="n">
        <v>7.44</v>
      </c>
      <c r="F81" s="6" t="n">
        <v>0.004957620342235727</v>
      </c>
    </row>
    <row r="82" ht="20" customHeight="1">
      <c r="A82" s="10" t="n">
        <v>81</v>
      </c>
      <c r="B82" s="2" t="inlineStr">
        <is>
          <t>Tuljapur</t>
        </is>
      </c>
      <c r="C82" s="2" t="inlineStr">
        <is>
          <t>Masala kh.</t>
        </is>
      </c>
      <c r="D82" s="5" t="n">
        <v>2214.6</v>
      </c>
      <c r="E82" s="12" t="n">
        <v>22.15</v>
      </c>
      <c r="F82" s="11" t="n">
        <v>0.01475958206727437</v>
      </c>
    </row>
    <row r="83" ht="20" customHeight="1">
      <c r="A83" s="9" t="n">
        <v>82</v>
      </c>
      <c r="B83" s="3" t="inlineStr">
        <is>
          <t>Tuljapur</t>
        </is>
      </c>
      <c r="C83" s="3" t="inlineStr">
        <is>
          <t>Morda</t>
        </is>
      </c>
      <c r="D83" s="13" t="n">
        <v>807.7</v>
      </c>
      <c r="E83" s="4" t="n">
        <v>8.08</v>
      </c>
      <c r="F83" s="6" t="n">
        <v>0.00538408230715923</v>
      </c>
    </row>
    <row r="84" ht="20" customHeight="1">
      <c r="A84" s="10" t="n">
        <v>83</v>
      </c>
      <c r="B84" s="2" t="inlineStr">
        <is>
          <t>Tuljapur</t>
        </is>
      </c>
      <c r="C84" s="2" t="inlineStr">
        <is>
          <t>Murta</t>
        </is>
      </c>
      <c r="D84" s="5" t="n">
        <v>1627.5</v>
      </c>
      <c r="E84" s="12" t="n">
        <v>16.27</v>
      </c>
      <c r="F84" s="11" t="n">
        <v>0.01084146276453969</v>
      </c>
    </row>
    <row r="85" ht="20" customHeight="1">
      <c r="A85" s="9" t="n">
        <v>84</v>
      </c>
      <c r="B85" s="3" t="inlineStr">
        <is>
          <t>Tuljapur</t>
        </is>
      </c>
      <c r="C85" s="3" t="inlineStr">
        <is>
          <t xml:space="preserve">Naldurg </t>
        </is>
      </c>
      <c r="D85" s="13" t="n">
        <v>2793.1</v>
      </c>
      <c r="E85" s="4" t="n">
        <v>27.93</v>
      </c>
      <c r="F85" s="6" t="n">
        <v>0.01861106668798976</v>
      </c>
    </row>
    <row r="86" ht="20" customHeight="1">
      <c r="A86" s="10" t="n">
        <v>85</v>
      </c>
      <c r="B86" s="2" t="inlineStr">
        <is>
          <t>Tuljapur</t>
        </is>
      </c>
      <c r="C86" s="2" t="inlineStr">
        <is>
          <t>Naldurg (M Cl)</t>
        </is>
      </c>
      <c r="D86" s="5" t="n">
        <v>97.09999999999999</v>
      </c>
      <c r="E86" s="12" t="n">
        <v>0.97</v>
      </c>
      <c r="F86" s="11" t="n">
        <v>0.0006463564155871848</v>
      </c>
    </row>
    <row r="87" ht="20" customHeight="1">
      <c r="A87" s="9" t="n">
        <v>86</v>
      </c>
      <c r="B87" s="3" t="inlineStr">
        <is>
          <t>Tuljapur</t>
        </is>
      </c>
      <c r="C87" s="3" t="inlineStr">
        <is>
          <t>Nandgaon</t>
        </is>
      </c>
      <c r="D87" s="13" t="n">
        <v>2206.1</v>
      </c>
      <c r="E87" s="4" t="n">
        <v>22.06</v>
      </c>
      <c r="F87" s="6" t="n">
        <v>0.01469961085345701</v>
      </c>
    </row>
    <row r="88" ht="20" customHeight="1">
      <c r="A88" s="10" t="n">
        <v>87</v>
      </c>
      <c r="B88" s="2" t="inlineStr">
        <is>
          <t>Tuljapur</t>
        </is>
      </c>
      <c r="C88" s="2" t="inlineStr">
        <is>
          <t>Nanduri</t>
        </is>
      </c>
      <c r="D88" s="5" t="n">
        <v>1267</v>
      </c>
      <c r="E88" s="12" t="n">
        <v>12.67</v>
      </c>
      <c r="F88" s="11" t="n">
        <v>0.00844261421184498</v>
      </c>
    </row>
    <row r="89" ht="20" customHeight="1">
      <c r="A89" s="9" t="n">
        <v>88</v>
      </c>
      <c r="B89" s="3" t="inlineStr">
        <is>
          <t>Tuljapur</t>
        </is>
      </c>
      <c r="C89" s="3" t="inlineStr">
        <is>
          <t>Nilegaon</t>
        </is>
      </c>
      <c r="D89" s="13" t="n">
        <v>2737.4</v>
      </c>
      <c r="E89" s="4" t="n">
        <v>27.37</v>
      </c>
      <c r="F89" s="6" t="n">
        <v>0.0182379124686817</v>
      </c>
    </row>
    <row r="90" ht="20" customHeight="1">
      <c r="A90" s="10" t="n">
        <v>89</v>
      </c>
      <c r="B90" s="2" t="inlineStr">
        <is>
          <t>Tuljapur</t>
        </is>
      </c>
      <c r="C90" s="2" t="inlineStr">
        <is>
          <t>Pangardarwadi</t>
        </is>
      </c>
      <c r="D90" s="5" t="n">
        <v>1375.8</v>
      </c>
      <c r="E90" s="12" t="n">
        <v>13.76</v>
      </c>
      <c r="F90" s="11" t="n">
        <v>0.009168932245855322</v>
      </c>
    </row>
    <row r="91" ht="20" customHeight="1">
      <c r="A91" s="9" t="n">
        <v>90</v>
      </c>
      <c r="B91" s="3" t="inlineStr">
        <is>
          <t>Tuljapur</t>
        </is>
      </c>
      <c r="C91" s="3" t="inlineStr">
        <is>
          <t>Pimpala Bk.</t>
        </is>
      </c>
      <c r="D91" s="13" t="n">
        <v>1550.7</v>
      </c>
      <c r="E91" s="4" t="n">
        <v>15.51</v>
      </c>
      <c r="F91" s="6" t="n">
        <v>0.01033503918119303</v>
      </c>
    </row>
    <row r="92" ht="20" customHeight="1">
      <c r="A92" s="10" t="n">
        <v>91</v>
      </c>
      <c r="B92" s="2" t="inlineStr">
        <is>
          <t>Tuljapur</t>
        </is>
      </c>
      <c r="C92" s="2" t="inlineStr">
        <is>
          <t>Pimpala Kh.</t>
        </is>
      </c>
      <c r="D92" s="5" t="n">
        <v>1638.2</v>
      </c>
      <c r="E92" s="12" t="n">
        <v>16.38</v>
      </c>
      <c r="F92" s="11" t="n">
        <v>0.01091476091476091</v>
      </c>
    </row>
    <row r="93" ht="20" customHeight="1">
      <c r="A93" s="9" t="n">
        <v>92</v>
      </c>
      <c r="B93" s="3" t="inlineStr">
        <is>
          <t>Tuljapur</t>
        </is>
      </c>
      <c r="C93" s="3" t="inlineStr">
        <is>
          <t>Raikhel</t>
        </is>
      </c>
      <c r="D93" s="13" t="n">
        <v>559.6</v>
      </c>
      <c r="E93" s="4" t="n">
        <v>5.6</v>
      </c>
      <c r="F93" s="6" t="n">
        <v>0.003731542193080654</v>
      </c>
    </row>
    <row r="94" ht="20" customHeight="1">
      <c r="A94" s="10" t="n">
        <v>93</v>
      </c>
      <c r="B94" s="2" t="inlineStr">
        <is>
          <t>Tuljapur</t>
        </is>
      </c>
      <c r="C94" s="2" t="inlineStr">
        <is>
          <t>Ramtirth</t>
        </is>
      </c>
      <c r="D94" s="5" t="n">
        <v>629.6</v>
      </c>
      <c r="E94" s="12" t="n">
        <v>6.3</v>
      </c>
      <c r="F94" s="11" t="n">
        <v>0.004197984967215736</v>
      </c>
    </row>
    <row r="95" ht="20" customHeight="1">
      <c r="A95" s="9" t="n">
        <v>94</v>
      </c>
      <c r="B95" s="3" t="inlineStr">
        <is>
          <t>Tuljapur</t>
        </is>
      </c>
      <c r="C95" s="3" t="inlineStr">
        <is>
          <t>Salgara Tatur</t>
        </is>
      </c>
      <c r="D95" s="13" t="n">
        <v>1245.3</v>
      </c>
      <c r="E95" s="4" t="n">
        <v>12.45</v>
      </c>
      <c r="F95" s="6" t="n">
        <v>0.008296017911402526</v>
      </c>
    </row>
    <row r="96" ht="20" customHeight="1">
      <c r="A96" s="10" t="n">
        <v>95</v>
      </c>
      <c r="B96" s="2" t="inlineStr">
        <is>
          <t>Tuljapur</t>
        </is>
      </c>
      <c r="C96" s="2" t="inlineStr">
        <is>
          <t>Salgara divti</t>
        </is>
      </c>
      <c r="D96" s="5" t="n">
        <v>1826</v>
      </c>
      <c r="E96" s="12" t="n">
        <v>18.26</v>
      </c>
      <c r="F96" s="11" t="n">
        <v>0.01216749293672371</v>
      </c>
    </row>
    <row r="97" ht="20" customHeight="1">
      <c r="A97" s="9" t="n">
        <v>96</v>
      </c>
      <c r="B97" s="3" t="inlineStr">
        <is>
          <t>Tuljapur</t>
        </is>
      </c>
      <c r="C97" s="3" t="inlineStr">
        <is>
          <t>Sangvi Kati</t>
        </is>
      </c>
      <c r="D97" s="13" t="n">
        <v>1116.2</v>
      </c>
      <c r="E97" s="4" t="n">
        <v>11.16</v>
      </c>
      <c r="F97" s="6" t="n">
        <v>0.00743643051335359</v>
      </c>
    </row>
    <row r="98" ht="20" customHeight="1">
      <c r="A98" s="10" t="n">
        <v>97</v>
      </c>
      <c r="B98" s="2" t="inlineStr">
        <is>
          <t>Tuljapur</t>
        </is>
      </c>
      <c r="C98" s="2" t="inlineStr">
        <is>
          <t>Sangvi Mardi</t>
        </is>
      </c>
      <c r="D98" s="5" t="n">
        <v>661.8</v>
      </c>
      <c r="E98" s="12" t="n">
        <v>6.62</v>
      </c>
      <c r="F98" s="11" t="n">
        <v>0.004411215949677488</v>
      </c>
    </row>
    <row r="99" ht="20" customHeight="1">
      <c r="A99" s="9" t="n">
        <v>98</v>
      </c>
      <c r="B99" s="3" t="inlineStr">
        <is>
          <t>Tuljapur</t>
        </is>
      </c>
      <c r="C99" s="3" t="inlineStr">
        <is>
          <t>Sarati</t>
        </is>
      </c>
      <c r="D99" s="13" t="n">
        <v>835.1</v>
      </c>
      <c r="E99" s="4" t="n">
        <v>8.35</v>
      </c>
      <c r="F99" s="6" t="n">
        <v>0.005563995948611333</v>
      </c>
    </row>
    <row r="100" ht="20" customHeight="1">
      <c r="A100" s="10" t="n">
        <v>99</v>
      </c>
      <c r="B100" s="2" t="inlineStr">
        <is>
          <t>Tuljapur</t>
        </is>
      </c>
      <c r="C100" s="2" t="inlineStr">
        <is>
          <t>Sardewadi</t>
        </is>
      </c>
      <c r="D100" s="5" t="n">
        <v>817.2</v>
      </c>
      <c r="E100" s="12" t="n">
        <v>8.17</v>
      </c>
      <c r="F100" s="11" t="n">
        <v>0.005444053520976598</v>
      </c>
    </row>
    <row r="101" ht="20" customHeight="1">
      <c r="A101" s="9" t="n">
        <v>100</v>
      </c>
      <c r="B101" s="3" t="inlineStr">
        <is>
          <t>Tuljapur</t>
        </is>
      </c>
      <c r="C101" s="3" t="inlineStr">
        <is>
          <t>Sarola</t>
        </is>
      </c>
      <c r="D101" s="13" t="n">
        <v>608</v>
      </c>
      <c r="E101" s="4" t="n">
        <v>6.08</v>
      </c>
      <c r="F101" s="6" t="n">
        <v>0.004051388666773282</v>
      </c>
    </row>
    <row r="102" ht="20" customHeight="1">
      <c r="A102" s="10" t="n">
        <v>101</v>
      </c>
      <c r="B102" s="2" t="inlineStr">
        <is>
          <t>Tuljapur</t>
        </is>
      </c>
      <c r="C102" s="2" t="inlineStr">
        <is>
          <t>Sawargaon</t>
        </is>
      </c>
      <c r="D102" s="5" t="n">
        <v>4987.4</v>
      </c>
      <c r="E102" s="12" t="n">
        <v>49.87</v>
      </c>
      <c r="F102" s="11" t="n">
        <v>0.03323071592302361</v>
      </c>
    </row>
    <row r="103" ht="20" customHeight="1">
      <c r="A103" s="9" t="n">
        <v>102</v>
      </c>
      <c r="B103" s="3" t="inlineStr">
        <is>
          <t>Tuljapur</t>
        </is>
      </c>
      <c r="C103" s="3" t="inlineStr">
        <is>
          <t>Shahapur</t>
        </is>
      </c>
      <c r="D103" s="13" t="n">
        <v>1500</v>
      </c>
      <c r="E103" s="4" t="n">
        <v>15</v>
      </c>
      <c r="F103" s="6" t="n">
        <v>0.00999520230289461</v>
      </c>
    </row>
    <row r="104" ht="20" customHeight="1">
      <c r="A104" s="10" t="n">
        <v>103</v>
      </c>
      <c r="B104" s="2" t="inlineStr">
        <is>
          <t>Tuljapur</t>
        </is>
      </c>
      <c r="C104" s="2" t="inlineStr">
        <is>
          <t>Shiradhon</t>
        </is>
      </c>
      <c r="D104" s="5" t="n">
        <v>614.5</v>
      </c>
      <c r="E104" s="12" t="n">
        <v>6.15</v>
      </c>
      <c r="F104" s="11" t="n">
        <v>0.00409803294418679</v>
      </c>
    </row>
    <row r="105" ht="20" customHeight="1">
      <c r="A105" s="9" t="n">
        <v>104</v>
      </c>
      <c r="B105" s="3" t="inlineStr">
        <is>
          <t>Tuljapur</t>
        </is>
      </c>
      <c r="C105" s="3" t="inlineStr">
        <is>
          <t>Shirgapur</t>
        </is>
      </c>
      <c r="D105" s="13" t="n">
        <v>399.7</v>
      </c>
      <c r="E105" s="4" t="n">
        <v>4</v>
      </c>
      <c r="F105" s="6" t="n">
        <v>0.002665387280771896</v>
      </c>
    </row>
    <row r="106" ht="20" customHeight="1">
      <c r="A106" s="10" t="n">
        <v>105</v>
      </c>
      <c r="B106" s="2" t="inlineStr">
        <is>
          <t>Tuljapur</t>
        </is>
      </c>
      <c r="C106" s="2" t="inlineStr">
        <is>
          <t>Shivajinagar</t>
        </is>
      </c>
      <c r="D106" s="5" t="n">
        <v>572.6</v>
      </c>
      <c r="E106" s="12" t="n">
        <v>5.73</v>
      </c>
      <c r="F106" s="11" t="n">
        <v>0.003818167279705742</v>
      </c>
    </row>
    <row r="107" ht="20" customHeight="1">
      <c r="A107" s="9" t="n">
        <v>106</v>
      </c>
      <c r="B107" s="3" t="inlineStr">
        <is>
          <t>Tuljapur</t>
        </is>
      </c>
      <c r="C107" s="3" t="inlineStr">
        <is>
          <t>Shivkarwadi</t>
        </is>
      </c>
      <c r="D107" s="13" t="n">
        <v>70.7</v>
      </c>
      <c r="E107" s="4" t="n">
        <v>0.71</v>
      </c>
      <c r="F107" s="6" t="n">
        <v>0.0004731062423370116</v>
      </c>
    </row>
    <row r="108" ht="20" customHeight="1">
      <c r="A108" s="10" t="n">
        <v>107</v>
      </c>
      <c r="B108" s="2" t="inlineStr">
        <is>
          <t>Tuljapur</t>
        </is>
      </c>
      <c r="C108" s="2" t="inlineStr">
        <is>
          <t>Shivkarwadi</t>
        </is>
      </c>
      <c r="D108" s="5" t="n">
        <v>211.8</v>
      </c>
      <c r="E108" s="12" t="n">
        <v>2.12</v>
      </c>
      <c r="F108" s="11" t="n">
        <v>0.001412655258809105</v>
      </c>
    </row>
    <row r="109" ht="20" customHeight="1">
      <c r="A109" s="9" t="n">
        <v>108</v>
      </c>
      <c r="B109" s="3" t="inlineStr">
        <is>
          <t>Tuljapur</t>
        </is>
      </c>
      <c r="C109" s="3" t="inlineStr">
        <is>
          <t>Shivkarwadi</t>
        </is>
      </c>
      <c r="D109" s="13" t="n">
        <v>58.8</v>
      </c>
      <c r="E109" s="4" t="n">
        <v>0.59</v>
      </c>
      <c r="F109" s="6" t="n">
        <v>0.0003931446239138547</v>
      </c>
    </row>
    <row r="110" ht="20" customHeight="1">
      <c r="A110" s="10" t="n">
        <v>109</v>
      </c>
      <c r="B110" s="2" t="inlineStr">
        <is>
          <t>Tuljapur</t>
        </is>
      </c>
      <c r="C110" s="2" t="inlineStr">
        <is>
          <t>Shivkarwadi</t>
        </is>
      </c>
      <c r="D110" s="5" t="n">
        <v>48.6</v>
      </c>
      <c r="E110" s="12" t="n">
        <v>0.49</v>
      </c>
      <c r="F110" s="11" t="n">
        <v>0.0003265099418945573</v>
      </c>
    </row>
    <row r="111" ht="20" customHeight="1">
      <c r="A111" s="9" t="n">
        <v>110</v>
      </c>
      <c r="B111" s="3" t="inlineStr">
        <is>
          <t>Tuljapur</t>
        </is>
      </c>
      <c r="C111" s="3" t="inlineStr">
        <is>
          <t>Sindfal</t>
        </is>
      </c>
      <c r="D111" s="13" t="n">
        <v>2826.2</v>
      </c>
      <c r="E111" s="4" t="n">
        <v>28.26</v>
      </c>
      <c r="F111" s="6" t="n">
        <v>0.01883096113865345</v>
      </c>
    </row>
    <row r="112" ht="20" customHeight="1">
      <c r="A112" s="10" t="n">
        <v>111</v>
      </c>
      <c r="B112" s="2" t="inlineStr">
        <is>
          <t>Tuljapur</t>
        </is>
      </c>
      <c r="C112" s="2" t="inlineStr">
        <is>
          <t>Sindgaon</t>
        </is>
      </c>
      <c r="D112" s="5" t="n">
        <v>1376.8</v>
      </c>
      <c r="E112" s="12" t="n">
        <v>13.77</v>
      </c>
      <c r="F112" s="11" t="n">
        <v>0.009175595714057252</v>
      </c>
    </row>
    <row r="113" ht="20" customHeight="1">
      <c r="A113" s="9" t="n">
        <v>112</v>
      </c>
      <c r="B113" s="3" t="inlineStr">
        <is>
          <t>Tuljapur</t>
        </is>
      </c>
      <c r="C113" s="3" t="inlineStr">
        <is>
          <t>Suratgaon</t>
        </is>
      </c>
      <c r="D113" s="13" t="n">
        <v>1132.6</v>
      </c>
      <c r="E113" s="4" t="n">
        <v>11.33</v>
      </c>
      <c r="F113" s="6" t="n">
        <v>0.007549709472786396</v>
      </c>
    </row>
    <row r="114" ht="20" customHeight="1">
      <c r="A114" s="10" t="n">
        <v>113</v>
      </c>
      <c r="B114" s="2" t="inlineStr">
        <is>
          <t>Tuljapur</t>
        </is>
      </c>
      <c r="C114" s="2" t="inlineStr">
        <is>
          <t>Tadwala</t>
        </is>
      </c>
      <c r="D114" s="5" t="n">
        <v>431</v>
      </c>
      <c r="E114" s="12" t="n">
        <v>4.31</v>
      </c>
      <c r="F114" s="11" t="n">
        <v>0.002871954795031718</v>
      </c>
    </row>
    <row r="115" ht="20" customHeight="1">
      <c r="A115" s="9" t="n">
        <v>114</v>
      </c>
      <c r="B115" s="3" t="inlineStr">
        <is>
          <t>Tuljapur</t>
        </is>
      </c>
      <c r="C115" s="3" t="inlineStr">
        <is>
          <t>Tamalwadi</t>
        </is>
      </c>
      <c r="D115" s="13" t="n">
        <v>1480.1</v>
      </c>
      <c r="E115" s="4" t="n">
        <v>14.8</v>
      </c>
      <c r="F115" s="6" t="n">
        <v>0.009861932938856016</v>
      </c>
    </row>
    <row r="116" ht="20" customHeight="1">
      <c r="A116" s="10" t="n">
        <v>115</v>
      </c>
      <c r="B116" s="2" t="inlineStr">
        <is>
          <t>Tuljapur</t>
        </is>
      </c>
      <c r="C116" s="2" t="inlineStr">
        <is>
          <t>Telarnagar</t>
        </is>
      </c>
      <c r="D116" s="5" t="n">
        <v>542.6</v>
      </c>
      <c r="E116" s="12" t="n">
        <v>5.43</v>
      </c>
      <c r="F116" s="11" t="n">
        <v>0.003618263233647849</v>
      </c>
    </row>
    <row r="117" ht="20" customHeight="1">
      <c r="A117" s="9" t="n">
        <v>116</v>
      </c>
      <c r="B117" s="3" t="inlineStr">
        <is>
          <t>Tuljapur</t>
        </is>
      </c>
      <c r="C117" s="3" t="inlineStr">
        <is>
          <t>Tirth Bk.</t>
        </is>
      </c>
      <c r="D117" s="13" t="n">
        <v>1674.3</v>
      </c>
      <c r="E117" s="4" t="n">
        <v>16.74</v>
      </c>
      <c r="F117" s="6" t="n">
        <v>0.01115464577003038</v>
      </c>
    </row>
    <row r="118" ht="20" customHeight="1">
      <c r="A118" s="10" t="n">
        <v>117</v>
      </c>
      <c r="B118" s="2" t="inlineStr">
        <is>
          <t>Tuljapur</t>
        </is>
      </c>
      <c r="C118" s="2" t="inlineStr">
        <is>
          <t>Tirth kh.</t>
        </is>
      </c>
      <c r="D118" s="5" t="n">
        <v>656.7</v>
      </c>
      <c r="E118" s="12" t="n">
        <v>6.57</v>
      </c>
      <c r="F118" s="11" t="n">
        <v>0.00437789860866784</v>
      </c>
    </row>
    <row r="119" ht="20" customHeight="1">
      <c r="A119" s="9" t="n">
        <v>118</v>
      </c>
      <c r="B119" s="3" t="inlineStr">
        <is>
          <t>Tuljapur</t>
        </is>
      </c>
      <c r="C119" s="3" t="inlineStr">
        <is>
          <t xml:space="preserve">Tuljapur </t>
        </is>
      </c>
      <c r="D119" s="13" t="n">
        <v>1502.7</v>
      </c>
      <c r="E119" s="4" t="n">
        <v>15.03</v>
      </c>
      <c r="F119" s="6" t="n">
        <v>0.0100151927075004</v>
      </c>
    </row>
    <row r="120" ht="20" customHeight="1">
      <c r="A120" s="10" t="n">
        <v>119</v>
      </c>
      <c r="B120" s="2" t="inlineStr">
        <is>
          <t>Tuljapur</t>
        </is>
      </c>
      <c r="C120" s="2" t="inlineStr">
        <is>
          <t>Tuljapur (M Cl)</t>
        </is>
      </c>
      <c r="D120" s="5" t="n">
        <v>99.09999999999999</v>
      </c>
      <c r="E120" s="12" t="n">
        <v>0.99</v>
      </c>
      <c r="F120" s="11" t="n">
        <v>0.0006596833519910443</v>
      </c>
    </row>
    <row r="121" ht="20" customHeight="1">
      <c r="A121" s="9" t="n">
        <v>120</v>
      </c>
      <c r="B121" s="3" t="inlineStr">
        <is>
          <t>Tuljapur</t>
        </is>
      </c>
      <c r="C121" s="3" t="inlineStr">
        <is>
          <t>Umarga</t>
        </is>
      </c>
      <c r="D121" s="13" t="n">
        <v>829.2</v>
      </c>
      <c r="E121" s="4" t="n">
        <v>8.289999999999999</v>
      </c>
      <c r="F121" s="6" t="n">
        <v>0.005524015139399754</v>
      </c>
    </row>
    <row r="122" ht="20" customHeight="1">
      <c r="A122" s="10" t="n">
        <v>121</v>
      </c>
      <c r="B122" s="2" t="inlineStr">
        <is>
          <t>Tuljapur</t>
        </is>
      </c>
      <c r="C122" s="2" t="inlineStr">
        <is>
          <t>Wadacha Tanda</t>
        </is>
      </c>
      <c r="D122" s="5" t="n">
        <v>664.5</v>
      </c>
      <c r="E122" s="12" t="n">
        <v>6.64</v>
      </c>
      <c r="F122" s="11" t="n">
        <v>0.004424542886081347</v>
      </c>
    </row>
    <row r="123" ht="20" customHeight="1">
      <c r="A123" s="9" t="n">
        <v>122</v>
      </c>
      <c r="B123" s="3" t="inlineStr">
        <is>
          <t>Tuljapur</t>
        </is>
      </c>
      <c r="C123" s="3" t="inlineStr">
        <is>
          <t>Wadgaon Kati</t>
        </is>
      </c>
      <c r="D123" s="13" t="n">
        <v>1466</v>
      </c>
      <c r="E123" s="4" t="n">
        <v>14.66</v>
      </c>
      <c r="F123" s="6" t="n">
        <v>0.009768644384029</v>
      </c>
    </row>
    <row r="124" ht="20" customHeight="1">
      <c r="A124" s="10" t="n">
        <v>123</v>
      </c>
      <c r="B124" s="2" t="inlineStr">
        <is>
          <t>Tuljapur</t>
        </is>
      </c>
      <c r="C124" s="2" t="inlineStr">
        <is>
          <t>Wadgaon deo</t>
        </is>
      </c>
      <c r="D124" s="5" t="n">
        <v>726.9</v>
      </c>
      <c r="E124" s="12" t="n">
        <v>7.27</v>
      </c>
      <c r="F124" s="11" t="n">
        <v>0.004844341382802921</v>
      </c>
    </row>
    <row r="125" ht="20" customHeight="1">
      <c r="A125" s="9" t="n">
        <v>124</v>
      </c>
      <c r="B125" s="3" t="inlineStr">
        <is>
          <t>Tuljapur</t>
        </is>
      </c>
      <c r="C125" s="3" t="inlineStr">
        <is>
          <t>Wadgaon lakh</t>
        </is>
      </c>
      <c r="D125" s="13" t="n">
        <v>1319</v>
      </c>
      <c r="E125" s="4" t="n">
        <v>13.19</v>
      </c>
      <c r="F125" s="6" t="n">
        <v>0.008789114558345327</v>
      </c>
    </row>
    <row r="126" ht="20" customHeight="1">
      <c r="A126" s="10" t="n">
        <v>125</v>
      </c>
      <c r="B126" s="2" t="inlineStr">
        <is>
          <t>Tuljapur</t>
        </is>
      </c>
      <c r="C126" s="2" t="inlineStr">
        <is>
          <t>Wagdari</t>
        </is>
      </c>
      <c r="D126" s="5" t="n">
        <v>592.8</v>
      </c>
      <c r="E126" s="12" t="n">
        <v>5.93</v>
      </c>
      <c r="F126" s="11" t="n">
        <v>0.003951436643744336</v>
      </c>
    </row>
    <row r="127" ht="20" customHeight="1">
      <c r="A127" s="9" t="n">
        <v>126</v>
      </c>
      <c r="B127" s="3" t="inlineStr">
        <is>
          <t>Tuljapur</t>
        </is>
      </c>
      <c r="C127" s="3" t="inlineStr">
        <is>
          <t>Wanegaon</t>
        </is>
      </c>
      <c r="D127" s="13" t="n">
        <v>775.1</v>
      </c>
      <c r="E127" s="4" t="n">
        <v>7.75</v>
      </c>
      <c r="F127" s="6" t="n">
        <v>0.005164187856495549</v>
      </c>
    </row>
    <row r="128" ht="20" customHeight="1">
      <c r="A128" s="10" t="n">
        <v>127</v>
      </c>
      <c r="B128" s="2" t="inlineStr">
        <is>
          <t>Tuljapur</t>
        </is>
      </c>
      <c r="C128" s="2" t="inlineStr">
        <is>
          <t>Wanewadi</t>
        </is>
      </c>
      <c r="D128" s="5" t="n">
        <v>1102.1</v>
      </c>
      <c r="E128" s="12" t="n">
        <v>11.02</v>
      </c>
      <c r="F128" s="11" t="n">
        <v>0.007343141958526573</v>
      </c>
    </row>
    <row r="129" ht="20" customHeight="1">
      <c r="A129" s="9" t="n">
        <v>128</v>
      </c>
      <c r="B129" s="3" t="inlineStr">
        <is>
          <t>Tuljapur</t>
        </is>
      </c>
      <c r="C129" s="3" t="inlineStr">
        <is>
          <t>Yamgarwadi</t>
        </is>
      </c>
      <c r="D129" s="13" t="n">
        <v>509.1</v>
      </c>
      <c r="E129" s="4" t="n">
        <v>5.09</v>
      </c>
      <c r="F129" s="6" t="n">
        <v>0.003391705314782238</v>
      </c>
    </row>
    <row r="130" ht="20" customHeight="1">
      <c r="A130" s="10" t="n">
        <v>129</v>
      </c>
      <c r="B130" s="2" t="inlineStr">
        <is>
          <t>Tuljapur</t>
        </is>
      </c>
      <c r="C130" s="2" t="inlineStr">
        <is>
          <t>Yedola</t>
        </is>
      </c>
      <c r="D130" s="5" t="n">
        <v>360.6</v>
      </c>
      <c r="E130" s="12" t="n">
        <v>3.61</v>
      </c>
      <c r="F130" s="11" t="n">
        <v>0.002405512020896636</v>
      </c>
    </row>
    <row r="131" ht="20" customHeight="1">
      <c r="A131" s="9" t="n">
        <v>130</v>
      </c>
      <c r="B131" s="3" t="inlineStr">
        <is>
          <t>Tuljapur</t>
        </is>
      </c>
      <c r="C131" s="3" t="inlineStr">
        <is>
          <t>Yewati</t>
        </is>
      </c>
      <c r="D131" s="13" t="n">
        <v>753.5</v>
      </c>
      <c r="E131" s="4" t="n">
        <v>7.53</v>
      </c>
      <c r="F131" s="6" t="n">
        <v>0.005017591556053094</v>
      </c>
    </row>
    <row r="132" ht="20" customHeight="1">
      <c r="A132" s="14" t="inlineStr">
        <is>
          <t>TOTAL</t>
        </is>
      </c>
      <c r="B132" s="14" t="inlineStr">
        <is>
          <t>Tuljapur</t>
        </is>
      </c>
      <c r="C132" s="14" t="inlineStr">
        <is>
          <t>All 130 Villages</t>
        </is>
      </c>
      <c r="D132" s="15">
        <f>SUM(D2:D131)</f>
        <v/>
      </c>
      <c r="E132" s="16">
        <f>SUM(E2:E131)</f>
        <v/>
      </c>
      <c r="F132" s="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5" customWidth="1" min="3" max="3"/>
    <col width="19" customWidth="1" min="4" max="4"/>
    <col width="25" customWidth="1" min="5" max="5"/>
    <col width="65" customWidth="1" min="6" max="6"/>
  </cols>
  <sheetData>
    <row r="1" ht="28" customHeight="1">
      <c r="A1" s="1" t="inlineStr">
        <is>
          <t>Elevation Range</t>
        </is>
      </c>
      <c r="B1" s="1" t="inlineStr">
        <is>
          <t>Hypsometric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Tuljapur (%)</t>
        </is>
      </c>
      <c r="F1" s="1" t="inlineStr">
        <is>
          <t>Landform &amp; Drainage Description</t>
        </is>
      </c>
    </row>
    <row r="2" ht="20" customHeight="1">
      <c r="A2" s="2" t="inlineStr">
        <is>
          <t>400 – 450 m</t>
        </is>
      </c>
      <c r="B2" s="2" t="inlineStr">
        <is>
          <t>Lowest Incised Valleys</t>
        </is>
      </c>
      <c r="C2" s="12" t="n">
        <v>0</v>
      </c>
      <c r="D2" s="5" t="n">
        <v>0</v>
      </c>
      <c r="E2" s="11" t="n">
        <v>0</v>
      </c>
      <c r="F2" s="2" t="inlineStr">
        <is>
          <t>Deep river trenches of Bori river basin</t>
        </is>
      </c>
    </row>
    <row r="3" ht="20" customHeight="1">
      <c r="A3" s="3" t="inlineStr">
        <is>
          <t>450 – 500 m</t>
        </is>
      </c>
      <c r="B3" s="3" t="inlineStr">
        <is>
          <t>Lower Valley Plains &amp; Depressions</t>
        </is>
      </c>
      <c r="C3" s="4" t="n">
        <v>146.3</v>
      </c>
      <c r="D3" s="13" t="n">
        <v>14630</v>
      </c>
      <c r="E3" s="6" t="n">
        <v>0.0975</v>
      </c>
      <c r="F3" s="3" t="inlineStr">
        <is>
          <t>Gentle fertile valley bottoms and alluvial terraces</t>
        </is>
      </c>
    </row>
    <row r="4" ht="20" customHeight="1">
      <c r="A4" s="2" t="inlineStr">
        <is>
          <t>500 – 550 m</t>
        </is>
      </c>
      <c r="B4" s="2" t="inlineStr">
        <is>
          <t>Middle Undulating Pediplain</t>
        </is>
      </c>
      <c r="C4" s="12" t="n">
        <v>684.7</v>
      </c>
      <c r="D4" s="5" t="n">
        <v>68470</v>
      </c>
      <c r="E4" s="11" t="n">
        <v>0.4563</v>
      </c>
      <c r="F4" s="2" t="inlineStr">
        <is>
          <t>Broad weathered pediplain with deep black cotton soils</t>
        </is>
      </c>
    </row>
    <row r="5" ht="20" customHeight="1">
      <c r="A5" s="3" t="inlineStr">
        <is>
          <t>550 – 600 m</t>
        </is>
      </c>
      <c r="B5" s="3" t="inlineStr">
        <is>
          <t>Upper Pediment &amp; Plateau Flanks</t>
        </is>
      </c>
      <c r="C5" s="4" t="n">
        <v>344.8</v>
      </c>
      <c r="D5" s="13" t="n">
        <v>34480</v>
      </c>
      <c r="E5" s="6" t="n">
        <v>0.2298</v>
      </c>
      <c r="F5" s="3" t="inlineStr">
        <is>
          <t>Weathered sheet wash slopes and terraced basalt steps</t>
        </is>
      </c>
    </row>
    <row r="6" ht="20" customHeight="1">
      <c r="A6" s="2" t="inlineStr">
        <is>
          <t>600 – 650 m</t>
        </is>
      </c>
      <c r="B6" s="2" t="inlineStr">
        <is>
          <t>Balaghat Main Plateau Tableland</t>
        </is>
      </c>
      <c r="C6" s="12" t="n">
        <v>272.7</v>
      </c>
      <c r="D6" s="5" t="n">
        <v>27270</v>
      </c>
      <c r="E6" s="11" t="n">
        <v>0.1817</v>
      </c>
      <c r="F6" s="2" t="inlineStr">
        <is>
          <t>Extensive flat basaltic tableland (Tuljapur high plain)</t>
        </is>
      </c>
    </row>
    <row r="7" ht="20" customHeight="1">
      <c r="A7" s="3" t="inlineStr">
        <is>
          <t>&gt; 650 m</t>
        </is>
      </c>
      <c r="B7" s="3" t="inlineStr">
        <is>
          <t>High Residual Ridges &amp; Escarpments</t>
        </is>
      </c>
      <c r="C7" s="4" t="n">
        <v>52.22</v>
      </c>
      <c r="D7" s="13" t="n">
        <v>5222</v>
      </c>
      <c r="E7" s="6" t="n">
        <v>0.0347</v>
      </c>
      <c r="F7" s="3" t="inlineStr">
        <is>
          <t>Isolated conical hills and sharp structural divides (Apsinga)</t>
        </is>
      </c>
    </row>
    <row r="8" ht="20" customHeight="1">
      <c r="A8" s="14" t="inlineStr">
        <is>
          <t>TOTAL</t>
        </is>
      </c>
      <c r="B8" s="14" t="inlineStr">
        <is>
          <t>Tuljapur Total Area</t>
        </is>
      </c>
      <c r="C8" s="16">
        <f>SUM(C2:C7)</f>
        <v/>
      </c>
      <c r="D8" s="15">
        <f>SUM(D2:D7)</f>
        <v/>
      </c>
      <c r="E8" s="17" t="n">
        <v>1</v>
      </c>
      <c r="F8" s="14" t="inlineStr">
        <is>
          <t>Complete Elevation Spectrum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19" customWidth="1" min="4" max="4"/>
    <col width="25" customWidth="1" min="5" max="5"/>
    <col width="20" customWidth="1" min="6" max="6"/>
    <col width="67" customWidth="1" min="7" max="7"/>
  </cols>
  <sheetData>
    <row r="1" ht="28" customHeight="1">
      <c r="A1" s="1" t="inlineStr">
        <is>
          <t>Slope Range (°)</t>
        </is>
      </c>
      <c r="B1" s="1" t="inlineStr">
        <is>
          <t>Slope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Tuljapur (%)</t>
        </is>
      </c>
      <c r="F1" s="1" t="inlineStr">
        <is>
          <t>Erosion Hazard</t>
        </is>
      </c>
      <c r="G1" s="1" t="inlineStr">
        <is>
          <t>Agricultural &amp; Watershed Capability</t>
        </is>
      </c>
    </row>
    <row r="2" ht="20" customHeight="1">
      <c r="A2" s="2" t="inlineStr">
        <is>
          <t>0° – 1°</t>
        </is>
      </c>
      <c r="B2" s="2" t="inlineStr">
        <is>
          <t>Nearly Level</t>
        </is>
      </c>
      <c r="C2" s="12" t="n">
        <v>458.8</v>
      </c>
      <c r="D2" s="5" t="n">
        <v>45880</v>
      </c>
      <c r="E2" s="11" t="n">
        <v>0.3057</v>
      </c>
      <c r="F2" s="2" t="inlineStr">
        <is>
          <t>Very Low</t>
        </is>
      </c>
      <c r="G2" s="2" t="inlineStr">
        <is>
          <t>Intensive farming, canal/well irrigation, valley farming</t>
        </is>
      </c>
    </row>
    <row r="3" ht="20" customHeight="1">
      <c r="A3" s="3" t="inlineStr">
        <is>
          <t>1° – 3°</t>
        </is>
      </c>
      <c r="B3" s="3" t="inlineStr">
        <is>
          <t>Very Gentle</t>
        </is>
      </c>
      <c r="C3" s="4" t="n">
        <v>805.1</v>
      </c>
      <c r="D3" s="13" t="n">
        <v>80510</v>
      </c>
      <c r="E3" s="6" t="n">
        <v>0.5365</v>
      </c>
      <c r="F3" s="3" t="inlineStr">
        <is>
          <t>Low</t>
        </is>
      </c>
      <c r="G3" s="3" t="inlineStr">
        <is>
          <t>Rainfed Kharif &amp; Rabi cropping, contour bunding recommended</t>
        </is>
      </c>
    </row>
    <row r="4" ht="20" customHeight="1">
      <c r="A4" s="2" t="inlineStr">
        <is>
          <t>3° – 5°</t>
        </is>
      </c>
      <c r="B4" s="2" t="inlineStr">
        <is>
          <t>Gentle</t>
        </is>
      </c>
      <c r="C4" s="12" t="n">
        <v>143.6</v>
      </c>
      <c r="D4" s="5" t="n">
        <v>14360</v>
      </c>
      <c r="E4" s="11" t="n">
        <v>0.09569999999999999</v>
      </c>
      <c r="F4" s="2" t="inlineStr">
        <is>
          <t>Moderate</t>
        </is>
      </c>
      <c r="G4" s="2" t="inlineStr">
        <is>
          <t>Vegetative barrier strips, field bunds, pulses and oilseeds</t>
        </is>
      </c>
    </row>
    <row r="5" ht="20" customHeight="1">
      <c r="A5" s="3" t="inlineStr">
        <is>
          <t>5° – 10°</t>
        </is>
      </c>
      <c r="B5" s="3" t="inlineStr">
        <is>
          <t>Moderate</t>
        </is>
      </c>
      <c r="C5" s="4" t="n">
        <v>66.2</v>
      </c>
      <c r="D5" s="13" t="n">
        <v>6620</v>
      </c>
      <c r="E5" s="6" t="n">
        <v>0.0441</v>
      </c>
      <c r="F5" s="3" t="inlineStr">
        <is>
          <t>High</t>
        </is>
      </c>
      <c r="G5" s="3" t="inlineStr">
        <is>
          <t>Agroforestry, dryland horticulture, continuous contour trenches</t>
        </is>
      </c>
    </row>
    <row r="6" ht="20" customHeight="1">
      <c r="A6" s="2" t="inlineStr">
        <is>
          <t>10° – 15°</t>
        </is>
      </c>
      <c r="B6" s="2" t="inlineStr">
        <is>
          <t>Moderately Steep</t>
        </is>
      </c>
      <c r="C6" s="12" t="n">
        <v>16.1</v>
      </c>
      <c r="D6" s="5" t="n">
        <v>1610</v>
      </c>
      <c r="E6" s="11" t="n">
        <v>0.0107</v>
      </c>
      <c r="F6" s="2" t="inlineStr">
        <is>
          <t>Very High</t>
        </is>
      </c>
      <c r="G6" s="2" t="inlineStr">
        <is>
          <t>Silvipasture, dry deciduous scrub, gully plugs</t>
        </is>
      </c>
    </row>
    <row r="7" ht="20" customHeight="1">
      <c r="A7" s="3" t="inlineStr">
        <is>
          <t>&gt; 15°</t>
        </is>
      </c>
      <c r="B7" s="3" t="inlineStr">
        <is>
          <t>Steep Escarpments</t>
        </is>
      </c>
      <c r="C7" s="4" t="n">
        <v>10.92</v>
      </c>
      <c r="D7" s="13" t="n">
        <v>1092</v>
      </c>
      <c r="E7" s="6" t="n">
        <v>0.0073</v>
      </c>
      <c r="F7" s="3" t="inlineStr">
        <is>
          <t>Extreme</t>
        </is>
      </c>
      <c r="G7" s="3" t="inlineStr">
        <is>
          <t>Forest preservation, structural check dams in rocky gorges</t>
        </is>
      </c>
    </row>
    <row r="8" ht="20" customHeight="1">
      <c r="A8" s="14" t="inlineStr">
        <is>
          <t>TOTAL</t>
        </is>
      </c>
      <c r="B8" s="14" t="inlineStr">
        <is>
          <t>Tuljapur Total Area</t>
        </is>
      </c>
      <c r="C8" s="16">
        <f>SUM(C2:C7)</f>
        <v/>
      </c>
      <c r="D8" s="15">
        <f>SUM(D2:D7)</f>
        <v/>
      </c>
      <c r="E8" s="17" t="n">
        <v>1</v>
      </c>
      <c r="F8" s="14" t="inlineStr">
        <is>
          <t>Total Assessment</t>
        </is>
      </c>
      <c r="G8" s="14" t="inlineStr">
        <is>
          <t>Complete Slope Regime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7" customWidth="1" min="3" max="3"/>
    <col width="21" customWidth="1" min="4" max="4"/>
    <col width="24" customWidth="1" min="5" max="5"/>
    <col width="20" customWidth="1" min="6" max="6"/>
    <col width="67" customWidth="1" min="7" max="7"/>
  </cols>
  <sheetData>
    <row r="1" ht="28" customHeight="1">
      <c r="A1" s="1" t="inlineStr">
        <is>
          <t>Strahler Order</t>
        </is>
      </c>
      <c r="B1" s="1" t="inlineStr">
        <is>
          <t>Stream Hierarchy</t>
        </is>
      </c>
      <c r="C1" s="1" t="inlineStr">
        <is>
          <t>Segment Count</t>
        </is>
      </c>
      <c r="D1" s="1" t="inlineStr">
        <is>
          <t>Total Length (km)</t>
        </is>
      </c>
      <c r="E1" s="1" t="inlineStr">
        <is>
          <t>Share of Network (%)</t>
        </is>
      </c>
      <c r="F1" s="1" t="inlineStr">
        <is>
          <t>Mean Length (km)</t>
        </is>
      </c>
      <c r="G1" s="1" t="inlineStr">
        <is>
          <t>Recommended Recharge Structure</t>
        </is>
      </c>
    </row>
    <row r="2" ht="20" customHeight="1">
      <c r="A2" s="2" t="inlineStr">
        <is>
          <t>Order 1</t>
        </is>
      </c>
      <c r="B2" s="2" t="inlineStr">
        <is>
          <t>1st Order (Headwater Ephemeral Gully)</t>
        </is>
      </c>
      <c r="C2" s="7" t="n">
        <v>827</v>
      </c>
      <c r="D2" s="12" t="n">
        <v>843.66</v>
      </c>
      <c r="E2" s="11" t="n">
        <v>0.5244</v>
      </c>
      <c r="F2" s="12" t="n">
        <v>1.02</v>
      </c>
      <c r="G2" s="2" t="inlineStr">
        <is>
          <t>Continuous Contour Trenches (CCT), Loose Boulder Checks</t>
        </is>
      </c>
    </row>
    <row r="3" ht="20" customHeight="1">
      <c r="A3" s="3" t="inlineStr">
        <is>
          <t>Order 2</t>
        </is>
      </c>
      <c r="B3" s="3" t="inlineStr">
        <is>
          <t>2nd Order (Secondary Collecting Tributary)</t>
        </is>
      </c>
      <c r="C3" s="8" t="n">
        <v>359</v>
      </c>
      <c r="D3" s="4" t="n">
        <v>400.71</v>
      </c>
      <c r="E3" s="6" t="n">
        <v>0.2491</v>
      </c>
      <c r="F3" s="4" t="n">
        <v>1.12</v>
      </c>
      <c r="G3" s="3" t="inlineStr">
        <is>
          <t>Earthen Nala Bunds, Gabion Structures, Field Terracing</t>
        </is>
      </c>
    </row>
    <row r="4" ht="20" customHeight="1">
      <c r="A4" s="2" t="inlineStr">
        <is>
          <t>Order 3</t>
        </is>
      </c>
      <c r="B4" s="2" t="inlineStr">
        <is>
          <t>3rd Order (Major Drainage Stream)</t>
        </is>
      </c>
      <c r="C4" s="7" t="n">
        <v>280</v>
      </c>
      <c r="D4" s="12" t="n">
        <v>236.73</v>
      </c>
      <c r="E4" s="11" t="n">
        <v>0.1472</v>
      </c>
      <c r="F4" s="12" t="n">
        <v>0.85</v>
      </c>
      <c r="G4" s="2" t="inlineStr">
        <is>
          <t>Masonry Check Dams, Cement Nala Bunds, Farm Pond Feeders</t>
        </is>
      </c>
    </row>
    <row r="5" ht="20" customHeight="1">
      <c r="A5" s="3" t="inlineStr">
        <is>
          <t>Order 4</t>
        </is>
      </c>
      <c r="B5" s="3" t="inlineStr">
        <is>
          <t>4th Order (Sub-Basin Trunk River / Bori)</t>
        </is>
      </c>
      <c r="C5" s="8" t="n">
        <v>125</v>
      </c>
      <c r="D5" s="4" t="n">
        <v>109.93</v>
      </c>
      <c r="E5" s="6" t="n">
        <v>0.0683</v>
      </c>
      <c r="F5" s="4" t="n">
        <v>0.88</v>
      </c>
      <c r="G5" s="3" t="inlineStr">
        <is>
          <t>Percolation Tanks (PT), Major Check Dams, Infiltration Wells</t>
        </is>
      </c>
    </row>
    <row r="6" ht="20" customHeight="1">
      <c r="A6" s="2" t="inlineStr">
        <is>
          <t>Order 5</t>
        </is>
      </c>
      <c r="B6" s="2" t="inlineStr">
        <is>
          <t>5th Order (Major Regional Confluence)</t>
        </is>
      </c>
      <c r="C6" s="7" t="n">
        <v>22</v>
      </c>
      <c r="D6" s="12" t="n">
        <v>17.72</v>
      </c>
      <c r="E6" s="11" t="n">
        <v>0.011</v>
      </c>
      <c r="F6" s="12" t="n">
        <v>0.8100000000000001</v>
      </c>
      <c r="G6" s="2" t="inlineStr">
        <is>
          <t>Subsurface Dykes, Infiltration Galleries, River Bank Protection</t>
        </is>
      </c>
    </row>
    <row r="7" ht="20" customHeight="1">
      <c r="A7" s="14" t="inlineStr">
        <is>
          <t>TOTAL</t>
        </is>
      </c>
      <c r="B7" s="14" t="inlineStr">
        <is>
          <t>Tuljapur Drainage Network</t>
        </is>
      </c>
      <c r="C7" s="18">
        <f>SUM(C2:C6)</f>
        <v/>
      </c>
      <c r="D7" s="16">
        <f>SUM(D2:D6)</f>
        <v/>
      </c>
      <c r="E7" s="17" t="n">
        <v>1</v>
      </c>
      <c r="F7" s="19" t="n">
        <v>1</v>
      </c>
      <c r="G7" s="14" t="inlineStr">
        <is>
          <t>Integrated Watershed Drainage Regime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9" customWidth="1" min="3" max="3"/>
    <col width="15" customWidth="1" min="4" max="4"/>
    <col width="25" customWidth="1" min="5" max="5"/>
    <col width="43" customWidth="1" min="6" max="6"/>
    <col width="68" customWidth="1" min="7" max="7"/>
  </cols>
  <sheetData>
    <row r="1" ht="28" customHeight="1">
      <c r="A1" s="1" t="inlineStr">
        <is>
          <t>Soil Code</t>
        </is>
      </c>
      <c r="B1" s="1" t="inlineStr">
        <is>
          <t>NBSS &amp; LUP Classification</t>
        </is>
      </c>
      <c r="C1" s="1" t="inlineStr">
        <is>
          <t>Area (Hectares)</t>
        </is>
      </c>
      <c r="D1" s="1" t="inlineStr">
        <is>
          <t>Area (km²)</t>
        </is>
      </c>
      <c r="E1" s="1" t="inlineStr">
        <is>
          <t>Share of Tuljapur (%)</t>
        </is>
      </c>
      <c r="F1" s="1" t="inlineStr">
        <is>
          <t>Taxonomic Subgroup</t>
        </is>
      </c>
      <c r="G1" s="1" t="inlineStr">
        <is>
          <t>Agronomic &amp; Moisture Behavior</t>
        </is>
      </c>
    </row>
    <row r="2" ht="20" customHeight="1">
      <c r="A2" s="2" t="inlineStr">
        <is>
          <t>Class 1</t>
        </is>
      </c>
      <c r="B2" s="2" t="inlineStr">
        <is>
          <t>Deep to Moderately Deep (&gt;50 cm)</t>
        </is>
      </c>
      <c r="C2" s="5" t="n">
        <v>31760</v>
      </c>
      <c r="D2" s="12" t="n">
        <v>317.6</v>
      </c>
      <c r="E2" s="11" t="n">
        <v>0.2116</v>
      </c>
      <c r="F2" s="2" t="inlineStr">
        <is>
          <t>Typic Chromusterts / Vertic Haplustepts</t>
        </is>
      </c>
      <c r="G2" s="2" t="inlineStr">
        <is>
          <t>High water retention, highly fertile; sugarcane, cotton, soybean</t>
        </is>
      </c>
    </row>
    <row r="3" ht="20" customHeight="1">
      <c r="A3" s="3" t="inlineStr">
        <is>
          <t>Class 2</t>
        </is>
      </c>
      <c r="B3" s="3" t="inlineStr">
        <is>
          <t>Shallow (25–50 cm)</t>
        </is>
      </c>
      <c r="C3" s="13" t="n">
        <v>13155</v>
      </c>
      <c r="D3" s="4" t="n">
        <v>131.55</v>
      </c>
      <c r="E3" s="6" t="n">
        <v>0.0877</v>
      </c>
      <c r="F3" s="3" t="inlineStr">
        <is>
          <t>Lithic Haplustepts</t>
        </is>
      </c>
      <c r="G3" s="3" t="inlineStr">
        <is>
          <t>Moderate water storage, suitable for pulses, jowar, oilseeds</t>
        </is>
      </c>
    </row>
    <row r="4" ht="20" customHeight="1">
      <c r="A4" s="2" t="inlineStr">
        <is>
          <t>Class 4</t>
        </is>
      </c>
      <c r="B4" s="2" t="inlineStr">
        <is>
          <t>Very Shallow (10–25 cm)</t>
        </is>
      </c>
      <c r="C4" s="5" t="n">
        <v>104992</v>
      </c>
      <c r="D4" s="12" t="n">
        <v>1049.92</v>
      </c>
      <c r="E4" s="11" t="n">
        <v>0.6996</v>
      </c>
      <c r="F4" s="2" t="inlineStr">
        <is>
          <t>Lithic Ustorthents</t>
        </is>
      </c>
      <c r="G4" s="2" t="inlineStr">
        <is>
          <t>Extremely prone to moisture stress; silvipasture &amp; dryland crops</t>
        </is>
      </c>
    </row>
    <row r="5" ht="20" customHeight="1">
      <c r="A5" s="14" t="inlineStr">
        <is>
          <t>TOTAL</t>
        </is>
      </c>
      <c r="B5" s="14" t="inlineStr">
        <is>
          <t>Tuljapur Soil Resource</t>
        </is>
      </c>
      <c r="C5" s="15">
        <f>SUM(C2:C4)</f>
        <v/>
      </c>
      <c r="D5" s="16">
        <f>SUM(D2:D4)</f>
        <v/>
      </c>
      <c r="E5" s="17" t="n">
        <v>1</v>
      </c>
      <c r="F5" s="14" t="inlineStr">
        <is>
          <t>Deccan Trap Weathering Mantle</t>
        </is>
      </c>
      <c r="G5" s="14" t="inlineStr">
        <is>
          <t>Total Soil Profile 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5" customWidth="1" min="3" max="3"/>
    <col width="19" customWidth="1" min="4" max="4"/>
    <col width="25" customWidth="1" min="5" max="5"/>
    <col width="26" customWidth="1" min="6" max="6"/>
    <col width="56" customWidth="1" min="7" max="7"/>
  </cols>
  <sheetData>
    <row r="1" ht="28" customHeight="1">
      <c r="A1" s="1" t="inlineStr">
        <is>
          <t>Texture Code</t>
        </is>
      </c>
      <c r="B1" s="1" t="inlineStr">
        <is>
          <t>USDA Texture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Tuljapur (%)</t>
        </is>
      </c>
      <c r="F1" s="1" t="inlineStr">
        <is>
          <t>Infiltration (mm/hr)</t>
        </is>
      </c>
      <c r="G1" s="1" t="inlineStr">
        <is>
          <t>Hydrological Characteristics</t>
        </is>
      </c>
    </row>
    <row r="2" ht="20" customHeight="1">
      <c r="A2" s="2" t="inlineStr">
        <is>
          <t>Class 1</t>
        </is>
      </c>
      <c r="B2" s="2" t="inlineStr">
        <is>
          <t>Clay (Deep Black Vertisols)</t>
        </is>
      </c>
      <c r="C2" s="12" t="n">
        <v>1403.17</v>
      </c>
      <c r="D2" s="5" t="n">
        <v>140317</v>
      </c>
      <c r="E2" s="11" t="n">
        <v>0.9350000000000001</v>
      </c>
      <c r="F2" s="2" t="inlineStr">
        <is>
          <t>1.0 – 5.0 (Slow)</t>
        </is>
      </c>
      <c r="G2" s="2" t="inlineStr">
        <is>
          <t>High shrink-swell capacity, wide cracking, high CEC</t>
        </is>
      </c>
    </row>
    <row r="3" ht="20" customHeight="1">
      <c r="A3" s="3" t="inlineStr">
        <is>
          <t>Class 4</t>
        </is>
      </c>
      <c r="B3" s="3" t="inlineStr">
        <is>
          <t>Clay Loam (Gravelly Loams)</t>
        </is>
      </c>
      <c r="C3" s="4" t="n">
        <v>61.53</v>
      </c>
      <c r="D3" s="13" t="n">
        <v>6153</v>
      </c>
      <c r="E3" s="6" t="n">
        <v>0.041</v>
      </c>
      <c r="F3" s="3" t="inlineStr">
        <is>
          <t>5.0 – 15.0 (Moderate)</t>
        </is>
      </c>
      <c r="G3" s="3" t="inlineStr">
        <is>
          <t>Moderately permeable, easier tillage along pediments</t>
        </is>
      </c>
    </row>
    <row r="4" ht="20" customHeight="1">
      <c r="A4" s="2" t="inlineStr">
        <is>
          <t>Class 255</t>
        </is>
      </c>
      <c r="B4" s="2" t="inlineStr">
        <is>
          <t>Waterbodies &amp; Non-Soil</t>
        </is>
      </c>
      <c r="C4" s="12" t="n">
        <v>36.02</v>
      </c>
      <c r="D4" s="5" t="n">
        <v>3602</v>
      </c>
      <c r="E4" s="11" t="n">
        <v>0.024</v>
      </c>
      <c r="F4" s="2" t="inlineStr">
        <is>
          <t>N/A</t>
        </is>
      </c>
      <c r="G4" s="2" t="inlineStr">
        <is>
          <t>River channels, lakes, and rocky outcrops</t>
        </is>
      </c>
    </row>
    <row r="5" ht="20" customHeight="1">
      <c r="A5" s="14" t="inlineStr">
        <is>
          <t>TOTAL</t>
        </is>
      </c>
      <c r="B5" s="14" t="inlineStr">
        <is>
          <t>Tuljapur Texture Profile</t>
        </is>
      </c>
      <c r="C5" s="16">
        <f>SUM(C2:C4)</f>
        <v/>
      </c>
      <c r="D5" s="15">
        <f>SUM(D2:D4)</f>
        <v/>
      </c>
      <c r="E5" s="17" t="n">
        <v>1</v>
      </c>
      <c r="F5" s="14" t="inlineStr">
        <is>
          <t>USDA Triangle Standard</t>
        </is>
      </c>
      <c r="G5" s="14" t="inlineStr">
        <is>
          <t>Total Evaluated Area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2" customWidth="1" min="3" max="3"/>
    <col width="19" customWidth="1" min="4" max="4"/>
    <col width="16" customWidth="1" min="5" max="5"/>
    <col width="25" customWidth="1" min="6" max="6"/>
    <col width="55" customWidth="1" min="7" max="7"/>
  </cols>
  <sheetData>
    <row r="1" ht="28" customHeight="1">
      <c r="A1" s="1" t="inlineStr">
        <is>
          <t>LULC Code</t>
        </is>
      </c>
      <c r="B1" s="1" t="inlineStr">
        <is>
          <t>Level 1 Category</t>
        </is>
      </c>
      <c r="C1" s="1" t="inlineStr">
        <is>
          <t>Level 3 Detailed Class</t>
        </is>
      </c>
      <c r="D1" s="1" t="inlineStr">
        <is>
          <t>Area (Hectares)</t>
        </is>
      </c>
      <c r="E1" s="1" t="inlineStr">
        <is>
          <t>Area (km²)</t>
        </is>
      </c>
      <c r="F1" s="1" t="inlineStr">
        <is>
          <t>Share of Tuljapur (%)</t>
        </is>
      </c>
      <c r="G1" s="1" t="inlineStr">
        <is>
          <t>Seasonality / Agronomic Description</t>
        </is>
      </c>
    </row>
    <row r="2" ht="20" customHeight="1">
      <c r="A2" s="2" t="inlineStr">
        <is>
          <t>Class 1</t>
        </is>
      </c>
      <c r="B2" s="2" t="inlineStr">
        <is>
          <t>Built Up</t>
        </is>
      </c>
      <c r="C2" s="2" t="inlineStr">
        <is>
          <t>Built-Up Settlement</t>
        </is>
      </c>
      <c r="D2" s="5" t="n">
        <v>2073</v>
      </c>
      <c r="E2" s="12" t="n">
        <v>20.73</v>
      </c>
      <c r="F2" s="11" t="n">
        <v>0.0138</v>
      </c>
      <c r="G2" s="2" t="inlineStr">
        <is>
          <t>Tuljapur town (M.Cl), Naldurg, and rural gaothans</t>
        </is>
      </c>
    </row>
    <row r="3" ht="20" customHeight="1">
      <c r="A3" s="3" t="inlineStr">
        <is>
          <t>Class 2</t>
        </is>
      </c>
      <c r="B3" s="3" t="inlineStr">
        <is>
          <t>Agricultural Land</t>
        </is>
      </c>
      <c r="C3" s="3" t="inlineStr">
        <is>
          <t>Kharif Cropland</t>
        </is>
      </c>
      <c r="D3" s="13" t="n">
        <v>45357</v>
      </c>
      <c r="E3" s="4" t="n">
        <v>453.57</v>
      </c>
      <c r="F3" s="6" t="n">
        <v>0.3022</v>
      </c>
      <c r="G3" s="3" t="inlineStr">
        <is>
          <t>Primary monsoon crops: Soybean, Cotton, Tur, Jowar</t>
        </is>
      </c>
    </row>
    <row r="4" ht="20" customHeight="1">
      <c r="A4" s="2" t="inlineStr">
        <is>
          <t>Class 3</t>
        </is>
      </c>
      <c r="B4" s="2" t="inlineStr">
        <is>
          <t>Agricultural Land</t>
        </is>
      </c>
      <c r="C4" s="2" t="inlineStr">
        <is>
          <t>Rabi Cropland</t>
        </is>
      </c>
      <c r="D4" s="5" t="n">
        <v>4025</v>
      </c>
      <c r="E4" s="12" t="n">
        <v>40.25</v>
      </c>
      <c r="F4" s="11" t="n">
        <v>0.0268</v>
      </c>
      <c r="G4" s="2" t="inlineStr">
        <is>
          <t>Winter crops: Chickpea (Gram), Rabi Jowar, Wheat</t>
        </is>
      </c>
    </row>
    <row r="5" ht="20" customHeight="1">
      <c r="A5" s="3" t="inlineStr">
        <is>
          <t>Class 4</t>
        </is>
      </c>
      <c r="B5" s="3" t="inlineStr">
        <is>
          <t>Agricultural Land</t>
        </is>
      </c>
      <c r="C5" s="3" t="inlineStr">
        <is>
          <t>Zaid Cropland</t>
        </is>
      </c>
      <c r="D5" s="13" t="n">
        <v>143</v>
      </c>
      <c r="E5" s="4" t="n">
        <v>1.43</v>
      </c>
      <c r="F5" s="6" t="n">
        <v>0.001</v>
      </c>
      <c r="G5" s="3" t="inlineStr">
        <is>
          <t>Summer irrigated vegetables along Bori pools</t>
        </is>
      </c>
    </row>
    <row r="6" ht="20" customHeight="1">
      <c r="A6" s="2" t="inlineStr">
        <is>
          <t>Class 5</t>
        </is>
      </c>
      <c r="B6" s="2" t="inlineStr">
        <is>
          <t>Agricultural Land</t>
        </is>
      </c>
      <c r="C6" s="2" t="inlineStr">
        <is>
          <t>Double / Triple Crop</t>
        </is>
      </c>
      <c r="D6" s="5" t="n">
        <v>15001</v>
      </c>
      <c r="E6" s="12" t="n">
        <v>150.01</v>
      </c>
      <c r="F6" s="11" t="n">
        <v>0.1</v>
      </c>
      <c r="G6" s="2" t="inlineStr">
        <is>
          <t>Perennially irrigated sugarcane and cash crops</t>
        </is>
      </c>
    </row>
    <row r="7" ht="20" customHeight="1">
      <c r="A7" s="3" t="inlineStr">
        <is>
          <t>Class 6</t>
        </is>
      </c>
      <c r="B7" s="3" t="inlineStr">
        <is>
          <t>Agricultural Land</t>
        </is>
      </c>
      <c r="C7" s="3" t="inlineStr">
        <is>
          <t>Current Fallow</t>
        </is>
      </c>
      <c r="D7" s="13" t="n">
        <v>42865</v>
      </c>
      <c r="E7" s="4" t="n">
        <v>428.65</v>
      </c>
      <c r="F7" s="6" t="n">
        <v>0.2856</v>
      </c>
      <c r="G7" s="3" t="inlineStr">
        <is>
          <t>Arable land left fallow due to monsoon deficit</t>
        </is>
      </c>
    </row>
    <row r="8" ht="20" customHeight="1">
      <c r="A8" s="2" t="inlineStr">
        <is>
          <t>Class 7</t>
        </is>
      </c>
      <c r="B8" s="2" t="inlineStr">
        <is>
          <t>Agricultural Land</t>
        </is>
      </c>
      <c r="C8" s="2" t="inlineStr">
        <is>
          <t>Plantation / Horticulture</t>
        </is>
      </c>
      <c r="D8" s="5" t="n">
        <v>474</v>
      </c>
      <c r="E8" s="12" t="n">
        <v>4.74</v>
      </c>
      <c r="F8" s="11" t="n">
        <v>0.0032</v>
      </c>
      <c r="G8" s="2" t="inlineStr">
        <is>
          <t>Pomegranate, mango, and custard apple orchards</t>
        </is>
      </c>
    </row>
    <row r="9" ht="20" customHeight="1">
      <c r="A9" s="3" t="inlineStr">
        <is>
          <t>Class 9</t>
        </is>
      </c>
      <c r="B9" s="3" t="inlineStr">
        <is>
          <t>Forest</t>
        </is>
      </c>
      <c r="C9" s="3" t="inlineStr">
        <is>
          <t>Deciduous Forest</t>
        </is>
      </c>
      <c r="D9" s="13" t="n">
        <v>290</v>
      </c>
      <c r="E9" s="4" t="n">
        <v>2.9</v>
      </c>
      <c r="F9" s="6" t="n">
        <v>0.0019</v>
      </c>
      <c r="G9" s="3" t="inlineStr">
        <is>
          <t>Dry deciduous teak and scrub forest along ridges</t>
        </is>
      </c>
    </row>
    <row r="10" ht="20" customHeight="1">
      <c r="A10" s="2" t="inlineStr">
        <is>
          <t>Class 10</t>
        </is>
      </c>
      <c r="B10" s="2" t="inlineStr">
        <is>
          <t>Forest</t>
        </is>
      </c>
      <c r="C10" s="2" t="inlineStr">
        <is>
          <t>Degraded / Scrub Forest</t>
        </is>
      </c>
      <c r="D10" s="5" t="n">
        <v>186</v>
      </c>
      <c r="E10" s="12" t="n">
        <v>1.86</v>
      </c>
      <c r="F10" s="11" t="n">
        <v>0.0012</v>
      </c>
      <c r="G10" s="2" t="inlineStr">
        <is>
          <t>Social forestry and open scrub patches</t>
        </is>
      </c>
    </row>
    <row r="11" ht="20" customHeight="1">
      <c r="A11" s="3" t="inlineStr">
        <is>
          <t>Class 14</t>
        </is>
      </c>
      <c r="B11" s="3" t="inlineStr">
        <is>
          <t>Wasteland</t>
        </is>
      </c>
      <c r="C11" s="3" t="inlineStr">
        <is>
          <t>Wasteland / Scrub</t>
        </is>
      </c>
      <c r="D11" s="13" t="n">
        <v>33219</v>
      </c>
      <c r="E11" s="4" t="n">
        <v>332.19</v>
      </c>
      <c r="F11" s="6" t="n">
        <v>0.2214</v>
      </c>
      <c r="G11" s="3" t="inlineStr">
        <is>
          <t>Stony basaltic ridges, sheet wash rock exposures</t>
        </is>
      </c>
    </row>
    <row r="12" ht="20" customHeight="1">
      <c r="A12" s="2" t="inlineStr">
        <is>
          <t>Class 16</t>
        </is>
      </c>
      <c r="B12" s="2" t="inlineStr">
        <is>
          <t>Waterbodies</t>
        </is>
      </c>
      <c r="C12" s="2" t="inlineStr">
        <is>
          <t>Reservoir / Lake</t>
        </is>
      </c>
      <c r="D12" s="5" t="n">
        <v>4724</v>
      </c>
      <c r="E12" s="12" t="n">
        <v>47.24</v>
      </c>
      <c r="F12" s="11" t="n">
        <v>0.0315</v>
      </c>
      <c r="G12" s="2" t="inlineStr">
        <is>
          <t>Naldurg lake, major percolation tanks, and barrages</t>
        </is>
      </c>
    </row>
    <row r="13" ht="20" customHeight="1">
      <c r="A13" s="3" t="inlineStr">
        <is>
          <t>Class 17</t>
        </is>
      </c>
      <c r="B13" s="3" t="inlineStr">
        <is>
          <t>Waterbodies</t>
        </is>
      </c>
      <c r="C13" s="3" t="inlineStr">
        <is>
          <t>River / Stream Channels</t>
        </is>
      </c>
      <c r="D13" s="13" t="n">
        <v>1569</v>
      </c>
      <c r="E13" s="4" t="n">
        <v>15.69</v>
      </c>
      <c r="F13" s="6" t="n">
        <v>0.0105</v>
      </c>
      <c r="G13" s="3" t="inlineStr">
        <is>
          <t>Bori river, Sina tributaries, and drainage beds</t>
        </is>
      </c>
    </row>
    <row r="14" ht="20" customHeight="1">
      <c r="A14" s="14" t="inlineStr">
        <is>
          <t>TOTAL</t>
        </is>
      </c>
      <c r="B14" s="14" t="inlineStr">
        <is>
          <t>All Categories</t>
        </is>
      </c>
      <c r="C14" s="14" t="inlineStr">
        <is>
          <t>Complete Land Cover Spectrum</t>
        </is>
      </c>
      <c r="D14" s="15">
        <f>SUM(D2:D13)</f>
        <v/>
      </c>
      <c r="E14" s="16">
        <f>SUM(E2:E13)</f>
        <v/>
      </c>
      <c r="F14" s="17" t="n">
        <v>1</v>
      </c>
      <c r="G14" s="14" t="inlineStr">
        <is>
          <t>Total Block Geographical Area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1" customWidth="1" min="3" max="3"/>
    <col width="20" customWidth="1" min="4" max="4"/>
    <col width="22" customWidth="1" min="5" max="5"/>
    <col width="18" customWidth="1" min="6" max="6"/>
    <col width="70" customWidth="1" min="7" max="7"/>
  </cols>
  <sheetData>
    <row r="1" ht="28" customHeight="1">
      <c r="A1" s="1" t="inlineStr">
        <is>
          <t>Biomass Tier</t>
        </is>
      </c>
      <c r="B1" s="1" t="inlineStr">
        <is>
          <t>NDVI Value Range</t>
        </is>
      </c>
      <c r="C1" s="1" t="inlineStr">
        <is>
          <t>Kharif 2024 (km²)</t>
        </is>
      </c>
      <c r="D1" s="1" t="inlineStr">
        <is>
          <t>Kharif Share (%)</t>
        </is>
      </c>
      <c r="E1" s="1" t="inlineStr">
        <is>
          <t>Rabi 2024-25 (km²)</t>
        </is>
      </c>
      <c r="F1" s="1" t="inlineStr">
        <is>
          <t>Rabi Share (%)</t>
        </is>
      </c>
      <c r="G1" s="1" t="inlineStr">
        <is>
          <t>Phenological Crop Dynamics</t>
        </is>
      </c>
    </row>
    <row r="2" ht="20" customHeight="1">
      <c r="A2" s="2" t="inlineStr">
        <is>
          <t>Water &amp; Barren Rock</t>
        </is>
      </c>
      <c r="B2" s="2" t="inlineStr">
        <is>
          <t>&lt; 0.10</t>
        </is>
      </c>
      <c r="C2" s="12" t="n">
        <v>50.1</v>
      </c>
      <c r="D2" s="11" t="n">
        <v>0.0334</v>
      </c>
      <c r="E2" s="12" t="n">
        <v>82.5</v>
      </c>
      <c r="F2" s="11" t="n">
        <v>0.055</v>
      </c>
      <c r="G2" s="2" t="inlineStr">
        <is>
          <t>Expansion of dry uncultivated surfaces post-monsoon</t>
        </is>
      </c>
    </row>
    <row r="3" ht="20" customHeight="1">
      <c r="A3" s="3" t="inlineStr">
        <is>
          <t>Fallow &amp; Sparse Cover</t>
        </is>
      </c>
      <c r="B3" s="3" t="inlineStr">
        <is>
          <t>0.10 – 0.25</t>
        </is>
      </c>
      <c r="C3" s="4" t="n">
        <v>282.3</v>
      </c>
      <c r="D3" s="6" t="n">
        <v>0.1881</v>
      </c>
      <c r="E3" s="4" t="n">
        <v>545.2</v>
      </c>
      <c r="F3" s="6" t="n">
        <v>0.3633</v>
      </c>
      <c r="G3" s="3" t="inlineStr">
        <is>
          <t>Rapid post-monsoon crop harvest in single-crop Kharif lands</t>
        </is>
      </c>
    </row>
    <row r="4" ht="20" customHeight="1">
      <c r="A4" s="2" t="inlineStr">
        <is>
          <t>Moderate Biomass</t>
        </is>
      </c>
      <c r="B4" s="2" t="inlineStr">
        <is>
          <t>0.25 – 0.45</t>
        </is>
      </c>
      <c r="C4" s="12" t="n">
        <v>596.4</v>
      </c>
      <c r="D4" s="11" t="n">
        <v>0.3974</v>
      </c>
      <c r="E4" s="12" t="n">
        <v>605.1</v>
      </c>
      <c r="F4" s="11" t="n">
        <v>0.4032</v>
      </c>
      <c r="G4" s="2" t="inlineStr">
        <is>
          <t>Winter Rabi crops (chickpea, wheat, Rabi sorghum) and horticulture</t>
        </is>
      </c>
    </row>
    <row r="5" ht="20" customHeight="1">
      <c r="A5" s="3" t="inlineStr">
        <is>
          <t>Dense Healthy Crops</t>
        </is>
      </c>
      <c r="B5" s="3" t="inlineStr">
        <is>
          <t>0.45 – 0.65</t>
        </is>
      </c>
      <c r="C5" s="4" t="n">
        <v>473.6</v>
      </c>
      <c r="D5" s="6" t="n">
        <v>0.3156</v>
      </c>
      <c r="E5" s="4" t="n">
        <v>229.3</v>
      </c>
      <c r="F5" s="6" t="n">
        <v>0.1528</v>
      </c>
      <c r="G5" s="3" t="inlineStr">
        <is>
          <t>Peak monsoon crop vigor; contracted in winter to irrigated zones</t>
        </is>
      </c>
    </row>
    <row r="6" ht="20" customHeight="1">
      <c r="A6" s="2" t="inlineStr">
        <is>
          <t>Very High Biomass</t>
        </is>
      </c>
      <c r="B6" s="2" t="inlineStr">
        <is>
          <t>&gt; 0.65</t>
        </is>
      </c>
      <c r="C6" s="12" t="n">
        <v>98.31999999999999</v>
      </c>
      <c r="D6" s="11" t="n">
        <v>0.0655</v>
      </c>
      <c r="E6" s="12" t="n">
        <v>38.62</v>
      </c>
      <c r="F6" s="11" t="n">
        <v>0.0257</v>
      </c>
      <c r="G6" s="2" t="inlineStr">
        <is>
          <t>Perennial sugarcane belts, lake fringes, and river canal zones</t>
        </is>
      </c>
    </row>
    <row r="7" ht="20" customHeight="1">
      <c r="A7" s="14" t="inlineStr">
        <is>
          <t>TOTAL</t>
        </is>
      </c>
      <c r="B7" s="14" t="inlineStr">
        <is>
          <t>Tuljapur Total Area</t>
        </is>
      </c>
      <c r="C7" s="16">
        <f>SUM(C2:C6)</f>
        <v/>
      </c>
      <c r="D7" s="17" t="n">
        <v>1</v>
      </c>
      <c r="E7" s="16">
        <f>SUM(E2:E6)</f>
        <v/>
      </c>
      <c r="F7" s="17" t="n">
        <v>1</v>
      </c>
      <c r="G7" s="14" t="inlineStr">
        <is>
          <t>Mean Kharif: 0.476 | Mean Rabi: 0.346 (Tuljapur Baseline)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4" customWidth="1" min="4" max="4"/>
    <col width="24" customWidth="1" min="5" max="5"/>
    <col width="20" customWidth="1" min="6" max="6"/>
    <col width="28" customWidth="1" min="7" max="7"/>
    <col width="15" customWidth="1" min="8" max="8"/>
    <col width="49" customWidth="1" min="9" max="9"/>
  </cols>
  <sheetData>
    <row r="1" ht="28" customHeight="1">
      <c r="A1" s="1" t="inlineStr">
        <is>
          <t>Year</t>
        </is>
      </c>
      <c r="B1" s="1" t="inlineStr">
        <is>
          <t>Annual Rainfall (mm)</t>
        </is>
      </c>
      <c r="C1" s="1" t="inlineStr">
        <is>
          <t>Monsoon JJAS (mm)</t>
        </is>
      </c>
      <c r="D1" s="1" t="inlineStr">
        <is>
          <t>Post-Monsoon ON (mm)</t>
        </is>
      </c>
      <c r="E1" s="1" t="inlineStr">
        <is>
          <t>Pre-Monsoon MAM (mm)</t>
        </is>
      </c>
      <c r="F1" s="1" t="inlineStr">
        <is>
          <t>Winter DJ (mm)</t>
        </is>
      </c>
      <c r="G1" s="1" t="inlineStr">
        <is>
          <t>Deviation from Mean (mm)</t>
        </is>
      </c>
      <c r="H1" s="1" t="inlineStr">
        <is>
          <t>Anomaly (%)</t>
        </is>
      </c>
      <c r="I1" s="1" t="inlineStr">
        <is>
          <t>Meteorological Classification</t>
        </is>
      </c>
    </row>
    <row r="2" ht="20" customHeight="1">
      <c r="A2" s="10" t="n">
        <v>1991</v>
      </c>
      <c r="B2" s="5" t="n">
        <v>689.7</v>
      </c>
      <c r="C2" s="5" t="n">
        <v>599.5</v>
      </c>
      <c r="D2" s="5" t="n">
        <v>22.5</v>
      </c>
      <c r="E2" s="5" t="n">
        <v>67.59999999999999</v>
      </c>
      <c r="F2" s="5" t="n">
        <v>0</v>
      </c>
      <c r="G2" s="20" t="n">
        <v>-72.8</v>
      </c>
      <c r="H2" s="21" t="n">
        <v>-0.0955</v>
      </c>
      <c r="I2" s="2" t="inlineStr">
        <is>
          <t>Normal Rainfall Year (±20%)</t>
        </is>
      </c>
    </row>
    <row r="3" ht="20" customHeight="1">
      <c r="A3" s="9" t="n">
        <v>1992</v>
      </c>
      <c r="B3" s="13" t="n">
        <v>578.8</v>
      </c>
      <c r="C3" s="13" t="n">
        <v>480</v>
      </c>
      <c r="D3" s="13" t="n">
        <v>66.09999999999999</v>
      </c>
      <c r="E3" s="13" t="n">
        <v>32.6</v>
      </c>
      <c r="F3" s="13" t="n">
        <v>0</v>
      </c>
      <c r="G3" s="22" t="n">
        <v>-183.7</v>
      </c>
      <c r="H3" s="23" t="n">
        <v>-0.2409</v>
      </c>
      <c r="I3" s="3" t="inlineStr">
        <is>
          <t>Deficient / Drought Year (&lt; -20%)</t>
        </is>
      </c>
    </row>
    <row r="4" ht="20" customHeight="1">
      <c r="A4" s="10" t="n">
        <v>1993</v>
      </c>
      <c r="B4" s="5" t="n">
        <v>679.9</v>
      </c>
      <c r="C4" s="5" t="n">
        <v>425.9</v>
      </c>
      <c r="D4" s="5" t="n">
        <v>194.2</v>
      </c>
      <c r="E4" s="5" t="n">
        <v>59.8</v>
      </c>
      <c r="F4" s="5" t="n">
        <v>0</v>
      </c>
      <c r="G4" s="20" t="n">
        <v>-82.59999999999999</v>
      </c>
      <c r="H4" s="21" t="n">
        <v>-0.1083</v>
      </c>
      <c r="I4" s="2" t="inlineStr">
        <is>
          <t>Normal Rainfall Year (±20%)</t>
        </is>
      </c>
    </row>
    <row r="5" ht="20" customHeight="1">
      <c r="A5" s="9" t="n">
        <v>1994</v>
      </c>
      <c r="B5" s="13" t="n">
        <v>676.6</v>
      </c>
      <c r="C5" s="13" t="n">
        <v>441.5</v>
      </c>
      <c r="D5" s="13" t="n">
        <v>163.9</v>
      </c>
      <c r="E5" s="13" t="n">
        <v>70.40000000000001</v>
      </c>
      <c r="F5" s="13" t="n">
        <v>0.9</v>
      </c>
      <c r="G5" s="22" t="n">
        <v>-85.90000000000001</v>
      </c>
      <c r="H5" s="23" t="n">
        <v>-0.1127</v>
      </c>
      <c r="I5" s="3" t="inlineStr">
        <is>
          <t>Normal Rainfall Year (±20%)</t>
        </is>
      </c>
    </row>
    <row r="6" ht="20" customHeight="1">
      <c r="A6" s="10" t="n">
        <v>1995</v>
      </c>
      <c r="B6" s="5" t="n">
        <v>695.1</v>
      </c>
      <c r="C6" s="5" t="n">
        <v>521</v>
      </c>
      <c r="D6" s="5" t="n">
        <v>132</v>
      </c>
      <c r="E6" s="5" t="n">
        <v>40.7</v>
      </c>
      <c r="F6" s="5" t="n">
        <v>1.6</v>
      </c>
      <c r="G6" s="20" t="n">
        <v>-67.40000000000001</v>
      </c>
      <c r="H6" s="21" t="n">
        <v>-0.08840000000000001</v>
      </c>
      <c r="I6" s="2" t="inlineStr">
        <is>
          <t>Normal Rainfall Year (±20%)</t>
        </is>
      </c>
    </row>
    <row r="7" ht="20" customHeight="1">
      <c r="A7" s="9" t="n">
        <v>1996</v>
      </c>
      <c r="B7" s="13" t="n">
        <v>684.3</v>
      </c>
      <c r="C7" s="13" t="n">
        <v>556.7</v>
      </c>
      <c r="D7" s="13" t="n">
        <v>101.9</v>
      </c>
      <c r="E7" s="13" t="n">
        <v>25.7</v>
      </c>
      <c r="F7" s="13" t="n">
        <v>0</v>
      </c>
      <c r="G7" s="22" t="n">
        <v>-78.2</v>
      </c>
      <c r="H7" s="23" t="n">
        <v>-0.1026</v>
      </c>
      <c r="I7" s="3" t="inlineStr">
        <is>
          <t>Normal Rainfall Year (±20%)</t>
        </is>
      </c>
    </row>
    <row r="8" ht="20" customHeight="1">
      <c r="A8" s="10" t="n">
        <v>1997</v>
      </c>
      <c r="B8" s="5" t="n">
        <v>463</v>
      </c>
      <c r="C8" s="5" t="n">
        <v>313.4</v>
      </c>
      <c r="D8" s="5" t="n">
        <v>112.4</v>
      </c>
      <c r="E8" s="5" t="n">
        <v>37.3</v>
      </c>
      <c r="F8" s="5" t="n">
        <v>0</v>
      </c>
      <c r="G8" s="20" t="n">
        <v>-299.5</v>
      </c>
      <c r="H8" s="21" t="n">
        <v>-0.3928</v>
      </c>
      <c r="I8" s="2" t="inlineStr">
        <is>
          <t>Deficient / Drought Year (&lt; -20%)</t>
        </is>
      </c>
    </row>
    <row r="9" ht="20" customHeight="1">
      <c r="A9" s="9" t="n">
        <v>1998</v>
      </c>
      <c r="B9" s="13" t="n">
        <v>952.2</v>
      </c>
      <c r="C9" s="13" t="n">
        <v>744</v>
      </c>
      <c r="D9" s="13" t="n">
        <v>175.4</v>
      </c>
      <c r="E9" s="13" t="n">
        <v>32.8</v>
      </c>
      <c r="F9" s="13" t="n">
        <v>0</v>
      </c>
      <c r="G9" s="22" t="n">
        <v>189.7</v>
      </c>
      <c r="H9" s="23" t="n">
        <v>0.2488</v>
      </c>
      <c r="I9" s="3" t="inlineStr">
        <is>
          <t>Excess / Wet Year (&gt; +20%)</t>
        </is>
      </c>
    </row>
    <row r="10" ht="20" customHeight="1">
      <c r="A10" s="10" t="n">
        <v>1999</v>
      </c>
      <c r="B10" s="5" t="n">
        <v>749.8</v>
      </c>
      <c r="C10" s="5" t="n">
        <v>528.4</v>
      </c>
      <c r="D10" s="5" t="n">
        <v>108.9</v>
      </c>
      <c r="E10" s="5" t="n">
        <v>106.4</v>
      </c>
      <c r="F10" s="5" t="n">
        <v>6.2</v>
      </c>
      <c r="G10" s="20" t="n">
        <v>-12.7</v>
      </c>
      <c r="H10" s="21" t="n">
        <v>-0.0167</v>
      </c>
      <c r="I10" s="2" t="inlineStr">
        <is>
          <t>Normal Rainfall Year (±20%)</t>
        </is>
      </c>
    </row>
    <row r="11" ht="20" customHeight="1">
      <c r="A11" s="9" t="n">
        <v>2000</v>
      </c>
      <c r="B11" s="13" t="n">
        <v>878</v>
      </c>
      <c r="C11" s="13" t="n">
        <v>722.5</v>
      </c>
      <c r="D11" s="13" t="n">
        <v>83.59999999999999</v>
      </c>
      <c r="E11" s="13" t="n">
        <v>72</v>
      </c>
      <c r="F11" s="13" t="n">
        <v>0</v>
      </c>
      <c r="G11" s="22" t="n">
        <v>115.5</v>
      </c>
      <c r="H11" s="23" t="n">
        <v>0.1515</v>
      </c>
      <c r="I11" s="3" t="inlineStr">
        <is>
          <t>Normal Rainfall Year (±20%)</t>
        </is>
      </c>
    </row>
    <row r="12" ht="20" customHeight="1">
      <c r="A12" s="10" t="n">
        <v>2001</v>
      </c>
      <c r="B12" s="5" t="n">
        <v>729.8</v>
      </c>
      <c r="C12" s="5" t="n">
        <v>537.7</v>
      </c>
      <c r="D12" s="5" t="n">
        <v>165.9</v>
      </c>
      <c r="E12" s="5" t="n">
        <v>25.8</v>
      </c>
      <c r="F12" s="5" t="n">
        <v>0.4</v>
      </c>
      <c r="G12" s="20" t="n">
        <v>-32.7</v>
      </c>
      <c r="H12" s="21" t="n">
        <v>-0.0429</v>
      </c>
      <c r="I12" s="2" t="inlineStr">
        <is>
          <t>Normal Rainfall Year (±20%)</t>
        </is>
      </c>
    </row>
    <row r="13" ht="20" customHeight="1">
      <c r="A13" s="9" t="n">
        <v>2002</v>
      </c>
      <c r="B13" s="13" t="n">
        <v>561.8</v>
      </c>
      <c r="C13" s="13" t="n">
        <v>407.6</v>
      </c>
      <c r="D13" s="13" t="n">
        <v>81.7</v>
      </c>
      <c r="E13" s="13" t="n">
        <v>71.59999999999999</v>
      </c>
      <c r="F13" s="13" t="n">
        <v>0.9</v>
      </c>
      <c r="G13" s="22" t="n">
        <v>-200.7</v>
      </c>
      <c r="H13" s="23" t="n">
        <v>-0.2632</v>
      </c>
      <c r="I13" s="3" t="inlineStr">
        <is>
          <t>Deficient / Drought Year (&lt; -20%)</t>
        </is>
      </c>
    </row>
    <row r="14" ht="20" customHeight="1">
      <c r="A14" s="10" t="n">
        <v>2003</v>
      </c>
      <c r="B14" s="5" t="n">
        <v>463.2</v>
      </c>
      <c r="C14" s="5" t="n">
        <v>384.7</v>
      </c>
      <c r="D14" s="5" t="n">
        <v>39.2</v>
      </c>
      <c r="E14" s="5" t="n">
        <v>37</v>
      </c>
      <c r="F14" s="5" t="n">
        <v>2.3</v>
      </c>
      <c r="G14" s="20" t="n">
        <v>-299.3</v>
      </c>
      <c r="H14" s="21" t="n">
        <v>-0.3925</v>
      </c>
      <c r="I14" s="2" t="inlineStr">
        <is>
          <t>Deficient / Drought Year (&lt; -20%)</t>
        </is>
      </c>
    </row>
    <row r="15" ht="20" customHeight="1">
      <c r="A15" s="9" t="n">
        <v>2004</v>
      </c>
      <c r="B15" s="13" t="n">
        <v>574</v>
      </c>
      <c r="C15" s="13" t="n">
        <v>446.1</v>
      </c>
      <c r="D15" s="13" t="n">
        <v>32.4</v>
      </c>
      <c r="E15" s="13" t="n">
        <v>95.5</v>
      </c>
      <c r="F15" s="13" t="n">
        <v>0</v>
      </c>
      <c r="G15" s="22" t="n">
        <v>-188.5</v>
      </c>
      <c r="H15" s="23" t="n">
        <v>-0.2472</v>
      </c>
      <c r="I15" s="3" t="inlineStr">
        <is>
          <t>Deficient / Drought Year (&lt; -20%)</t>
        </is>
      </c>
    </row>
    <row r="16" ht="20" customHeight="1">
      <c r="A16" s="10" t="n">
        <v>2005</v>
      </c>
      <c r="B16" s="5" t="n">
        <v>1017.7</v>
      </c>
      <c r="C16" s="5" t="n">
        <v>762.8</v>
      </c>
      <c r="D16" s="5" t="n">
        <v>178.8</v>
      </c>
      <c r="E16" s="5" t="n">
        <v>76</v>
      </c>
      <c r="F16" s="5" t="n">
        <v>0</v>
      </c>
      <c r="G16" s="20" t="n">
        <v>255.2</v>
      </c>
      <c r="H16" s="21" t="n">
        <v>0.3347</v>
      </c>
      <c r="I16" s="2" t="inlineStr">
        <is>
          <t>Excess / Wet Year (&gt; +20%)</t>
        </is>
      </c>
    </row>
    <row r="17" ht="20" customHeight="1">
      <c r="A17" s="9" t="n">
        <v>2006</v>
      </c>
      <c r="B17" s="13" t="n">
        <v>915.4</v>
      </c>
      <c r="C17" s="13" t="n">
        <v>674</v>
      </c>
      <c r="D17" s="13" t="n">
        <v>128.8</v>
      </c>
      <c r="E17" s="13" t="n">
        <v>112.6</v>
      </c>
      <c r="F17" s="13" t="n">
        <v>0</v>
      </c>
      <c r="G17" s="22" t="n">
        <v>152.9</v>
      </c>
      <c r="H17" s="23" t="n">
        <v>0.2005</v>
      </c>
      <c r="I17" s="3" t="inlineStr">
        <is>
          <t>Excess / Wet Year (&gt; +20%)</t>
        </is>
      </c>
    </row>
    <row r="18" ht="20" customHeight="1">
      <c r="A18" s="10" t="n">
        <v>2007</v>
      </c>
      <c r="B18" s="5" t="n">
        <v>916.7</v>
      </c>
      <c r="C18" s="5" t="n">
        <v>842.3</v>
      </c>
      <c r="D18" s="5" t="n">
        <v>48.4</v>
      </c>
      <c r="E18" s="5" t="n">
        <v>26</v>
      </c>
      <c r="F18" s="5" t="n">
        <v>0</v>
      </c>
      <c r="G18" s="20" t="n">
        <v>154.2</v>
      </c>
      <c r="H18" s="21" t="n">
        <v>0.2022</v>
      </c>
      <c r="I18" s="2" t="inlineStr">
        <is>
          <t>Excess / Wet Year (&gt; +20%)</t>
        </is>
      </c>
    </row>
    <row r="19" ht="20" customHeight="1">
      <c r="A19" s="9" t="n">
        <v>2008</v>
      </c>
      <c r="B19" s="13" t="n">
        <v>652.5</v>
      </c>
      <c r="C19" s="13" t="n">
        <v>541.5</v>
      </c>
      <c r="D19" s="13" t="n">
        <v>78</v>
      </c>
      <c r="E19" s="13" t="n">
        <v>33</v>
      </c>
      <c r="F19" s="13" t="n">
        <v>0</v>
      </c>
      <c r="G19" s="22" t="n">
        <v>-110</v>
      </c>
      <c r="H19" s="23" t="n">
        <v>-0.1443</v>
      </c>
      <c r="I19" s="3" t="inlineStr">
        <is>
          <t>Normal Rainfall Year (±20%)</t>
        </is>
      </c>
    </row>
    <row r="20" ht="20" customHeight="1">
      <c r="A20" s="10" t="n">
        <v>2009</v>
      </c>
      <c r="B20" s="5" t="n">
        <v>750.2</v>
      </c>
      <c r="C20" s="5" t="n">
        <v>567.1</v>
      </c>
      <c r="D20" s="5" t="n">
        <v>127.9</v>
      </c>
      <c r="E20" s="5" t="n">
        <v>55.2</v>
      </c>
      <c r="F20" s="5" t="n">
        <v>0</v>
      </c>
      <c r="G20" s="20" t="n">
        <v>-12.3</v>
      </c>
      <c r="H20" s="21" t="n">
        <v>-0.0161</v>
      </c>
      <c r="I20" s="2" t="inlineStr">
        <is>
          <t>Normal Rainfall Year (±20%)</t>
        </is>
      </c>
    </row>
    <row r="21" ht="20" customHeight="1">
      <c r="A21" s="9" t="n">
        <v>2010</v>
      </c>
      <c r="B21" s="13" t="n">
        <v>1051.3</v>
      </c>
      <c r="C21" s="13" t="n">
        <v>846.7</v>
      </c>
      <c r="D21" s="13" t="n">
        <v>155.1</v>
      </c>
      <c r="E21" s="13" t="n">
        <v>47.2</v>
      </c>
      <c r="F21" s="13" t="n">
        <v>2.4</v>
      </c>
      <c r="G21" s="22" t="n">
        <v>288.8</v>
      </c>
      <c r="H21" s="23" t="n">
        <v>0.3788</v>
      </c>
      <c r="I21" s="3" t="inlineStr">
        <is>
          <t>Excess / Wet Year (&gt; +20%)</t>
        </is>
      </c>
    </row>
    <row r="22" ht="20" customHeight="1">
      <c r="A22" s="10" t="n">
        <v>2011</v>
      </c>
      <c r="B22" s="5" t="n">
        <v>675.8</v>
      </c>
      <c r="C22" s="5" t="n">
        <v>521.4</v>
      </c>
      <c r="D22" s="5" t="n">
        <v>91.40000000000001</v>
      </c>
      <c r="E22" s="5" t="n">
        <v>62.9</v>
      </c>
      <c r="F22" s="5" t="n">
        <v>0.1</v>
      </c>
      <c r="G22" s="20" t="n">
        <v>-86.7</v>
      </c>
      <c r="H22" s="21" t="n">
        <v>-0.1137</v>
      </c>
      <c r="I22" s="2" t="inlineStr">
        <is>
          <t>Normal Rainfall Year (±20%)</t>
        </is>
      </c>
    </row>
    <row r="23" ht="20" customHeight="1">
      <c r="A23" s="9" t="n">
        <v>2012</v>
      </c>
      <c r="B23" s="13" t="n">
        <v>562.2</v>
      </c>
      <c r="C23" s="13" t="n">
        <v>404.1</v>
      </c>
      <c r="D23" s="13" t="n">
        <v>118.2</v>
      </c>
      <c r="E23" s="13" t="n">
        <v>40</v>
      </c>
      <c r="F23" s="13" t="n">
        <v>0</v>
      </c>
      <c r="G23" s="22" t="n">
        <v>-200.3</v>
      </c>
      <c r="H23" s="23" t="n">
        <v>-0.2627</v>
      </c>
      <c r="I23" s="3" t="inlineStr">
        <is>
          <t>Deficient / Drought Year (&lt; -20%)</t>
        </is>
      </c>
    </row>
    <row r="24" ht="20" customHeight="1">
      <c r="A24" s="10" t="n">
        <v>2013</v>
      </c>
      <c r="B24" s="5" t="n">
        <v>784.9</v>
      </c>
      <c r="C24" s="5" t="n">
        <v>645.7</v>
      </c>
      <c r="D24" s="5" t="n">
        <v>91.2</v>
      </c>
      <c r="E24" s="5" t="n">
        <v>47.9</v>
      </c>
      <c r="F24" s="5" t="n">
        <v>0.1</v>
      </c>
      <c r="G24" s="20" t="n">
        <v>22.4</v>
      </c>
      <c r="H24" s="21" t="n">
        <v>0.0294</v>
      </c>
      <c r="I24" s="2" t="inlineStr">
        <is>
          <t>Normal Rainfall Year (±20%)</t>
        </is>
      </c>
    </row>
    <row r="25" ht="20" customHeight="1">
      <c r="A25" s="9" t="n">
        <v>2014</v>
      </c>
      <c r="B25" s="13" t="n">
        <v>668.1</v>
      </c>
      <c r="C25" s="13" t="n">
        <v>536</v>
      </c>
      <c r="D25" s="13" t="n">
        <v>67.2</v>
      </c>
      <c r="E25" s="13" t="n">
        <v>63.8</v>
      </c>
      <c r="F25" s="13" t="n">
        <v>1.1</v>
      </c>
      <c r="G25" s="22" t="n">
        <v>-94.40000000000001</v>
      </c>
      <c r="H25" s="23" t="n">
        <v>-0.1238</v>
      </c>
      <c r="I25" s="3" t="inlineStr">
        <is>
          <t>Normal Rainfall Year (±20%)</t>
        </is>
      </c>
    </row>
    <row r="26" ht="20" customHeight="1">
      <c r="A26" s="10" t="n">
        <v>2015</v>
      </c>
      <c r="B26" s="5" t="n">
        <v>544.1</v>
      </c>
      <c r="C26" s="5" t="n">
        <v>399.2</v>
      </c>
      <c r="D26" s="5" t="n">
        <v>79.5</v>
      </c>
      <c r="E26" s="5" t="n">
        <v>65.3</v>
      </c>
      <c r="F26" s="5" t="n">
        <v>0.1</v>
      </c>
      <c r="G26" s="20" t="n">
        <v>-218.4</v>
      </c>
      <c r="H26" s="21" t="n">
        <v>-0.2864</v>
      </c>
      <c r="I26" s="2" t="inlineStr">
        <is>
          <t>Deficient / Drought Year (&lt; -20%)</t>
        </is>
      </c>
    </row>
    <row r="27" ht="20" customHeight="1">
      <c r="A27" s="9" t="n">
        <v>2016</v>
      </c>
      <c r="B27" s="13" t="n">
        <v>809.2</v>
      </c>
      <c r="C27" s="13" t="n">
        <v>706.2</v>
      </c>
      <c r="D27" s="13" t="n">
        <v>57.1</v>
      </c>
      <c r="E27" s="13" t="n">
        <v>44.2</v>
      </c>
      <c r="F27" s="13" t="n">
        <v>1.9</v>
      </c>
      <c r="G27" s="22" t="n">
        <v>46.7</v>
      </c>
      <c r="H27" s="23" t="n">
        <v>0.0612</v>
      </c>
      <c r="I27" s="3" t="inlineStr">
        <is>
          <t>Normal Rainfall Year (±20%)</t>
        </is>
      </c>
    </row>
    <row r="28" ht="20" customHeight="1">
      <c r="A28" s="10" t="n">
        <v>2017</v>
      </c>
      <c r="B28" s="5" t="n">
        <v>873.2</v>
      </c>
      <c r="C28" s="5" t="n">
        <v>671.3</v>
      </c>
      <c r="D28" s="5" t="n">
        <v>176.3</v>
      </c>
      <c r="E28" s="5" t="n">
        <v>25.5</v>
      </c>
      <c r="F28" s="5" t="n">
        <v>0.1</v>
      </c>
      <c r="G28" s="20" t="n">
        <v>110.7</v>
      </c>
      <c r="H28" s="21" t="n">
        <v>0.1452</v>
      </c>
      <c r="I28" s="2" t="inlineStr">
        <is>
          <t>Normal Rainfall Year (±20%)</t>
        </is>
      </c>
    </row>
    <row r="29" ht="20" customHeight="1">
      <c r="A29" s="9" t="n">
        <v>2018</v>
      </c>
      <c r="B29" s="13" t="n">
        <v>625</v>
      </c>
      <c r="C29" s="13" t="n">
        <v>510.1</v>
      </c>
      <c r="D29" s="13" t="n">
        <v>54.3</v>
      </c>
      <c r="E29" s="13" t="n">
        <v>56.8</v>
      </c>
      <c r="F29" s="13" t="n">
        <v>4</v>
      </c>
      <c r="G29" s="22" t="n">
        <v>-137.5</v>
      </c>
      <c r="H29" s="23" t="n">
        <v>-0.1803</v>
      </c>
      <c r="I29" s="3" t="inlineStr">
        <is>
          <t>Normal Rainfall Year (±20%)</t>
        </is>
      </c>
    </row>
    <row r="30" ht="20" customHeight="1">
      <c r="A30" s="10" t="n">
        <v>2019</v>
      </c>
      <c r="B30" s="5" t="n">
        <v>855.5</v>
      </c>
      <c r="C30" s="5" t="n">
        <v>590.6</v>
      </c>
      <c r="D30" s="5" t="n">
        <v>229.2</v>
      </c>
      <c r="E30" s="5" t="n">
        <v>35.5</v>
      </c>
      <c r="F30" s="5" t="n">
        <v>0.1</v>
      </c>
      <c r="G30" s="20" t="n">
        <v>93</v>
      </c>
      <c r="H30" s="21" t="n">
        <v>0.122</v>
      </c>
      <c r="I30" s="2" t="inlineStr">
        <is>
          <t>Normal Rainfall Year (±20%)</t>
        </is>
      </c>
    </row>
    <row r="31" ht="20" customHeight="1">
      <c r="A31" s="9" t="n">
        <v>2020</v>
      </c>
      <c r="B31" s="13" t="n">
        <v>1077</v>
      </c>
      <c r="C31" s="13" t="n">
        <v>807.3</v>
      </c>
      <c r="D31" s="13" t="n">
        <v>215.7</v>
      </c>
      <c r="E31" s="13" t="n">
        <v>53.9</v>
      </c>
      <c r="F31" s="13" t="n">
        <v>0.1</v>
      </c>
      <c r="G31" s="22" t="n">
        <v>314.5</v>
      </c>
      <c r="H31" s="23" t="n">
        <v>0.4125</v>
      </c>
      <c r="I31" s="3" t="inlineStr">
        <is>
          <t>Excess / Wet Year (&gt; +20%)</t>
        </is>
      </c>
    </row>
    <row r="32" ht="20" customHeight="1">
      <c r="A32" s="10" t="n">
        <v>2021</v>
      </c>
      <c r="B32" s="5" t="n">
        <v>951.9</v>
      </c>
      <c r="C32" s="5" t="n">
        <v>717.7</v>
      </c>
      <c r="D32" s="5" t="n">
        <v>118.3</v>
      </c>
      <c r="E32" s="5" t="n">
        <v>115.8</v>
      </c>
      <c r="F32" s="5" t="n">
        <v>0.1</v>
      </c>
      <c r="G32" s="20" t="n">
        <v>189.4</v>
      </c>
      <c r="H32" s="21" t="n">
        <v>0.2484</v>
      </c>
      <c r="I32" s="2" t="inlineStr">
        <is>
          <t>Excess / Wet Year (&gt; +20%)</t>
        </is>
      </c>
    </row>
    <row r="33" ht="20" customHeight="1">
      <c r="A33" s="9" t="n">
        <v>2022</v>
      </c>
      <c r="B33" s="13" t="n">
        <v>1061.8</v>
      </c>
      <c r="C33" s="13" t="n">
        <v>789</v>
      </c>
      <c r="D33" s="13" t="n">
        <v>189.8</v>
      </c>
      <c r="E33" s="13" t="n">
        <v>82.90000000000001</v>
      </c>
      <c r="F33" s="13" t="n">
        <v>0.1</v>
      </c>
      <c r="G33" s="22" t="n">
        <v>299.3</v>
      </c>
      <c r="H33" s="23" t="n">
        <v>0.3925</v>
      </c>
      <c r="I33" s="3" t="inlineStr">
        <is>
          <t>Excess / Wet Year (&gt; +20%)</t>
        </is>
      </c>
    </row>
    <row r="34" ht="20" customHeight="1">
      <c r="A34" s="10" t="n">
        <v>2023</v>
      </c>
      <c r="B34" s="5" t="n">
        <v>734.7</v>
      </c>
      <c r="C34" s="5" t="n">
        <v>582.9</v>
      </c>
      <c r="D34" s="5" t="n">
        <v>77.90000000000001</v>
      </c>
      <c r="E34" s="5" t="n">
        <v>73.8</v>
      </c>
      <c r="F34" s="5" t="n">
        <v>0.1</v>
      </c>
      <c r="G34" s="20" t="n">
        <v>-27.8</v>
      </c>
      <c r="H34" s="21" t="n">
        <v>-0.0365</v>
      </c>
      <c r="I34" s="2" t="inlineStr">
        <is>
          <t>Normal Rainfall Year (±20%)</t>
        </is>
      </c>
    </row>
    <row r="35" ht="20" customHeight="1">
      <c r="A35" s="9" t="n">
        <v>2024</v>
      </c>
      <c r="B35" s="13" t="n">
        <v>923.6</v>
      </c>
      <c r="C35" s="13" t="n">
        <v>751.7</v>
      </c>
      <c r="D35" s="13" t="n">
        <v>105.5</v>
      </c>
      <c r="E35" s="13" t="n">
        <v>66.40000000000001</v>
      </c>
      <c r="F35" s="13" t="n">
        <v>0.1</v>
      </c>
      <c r="G35" s="22" t="n">
        <v>161.1</v>
      </c>
      <c r="H35" s="23" t="n">
        <v>0.2113</v>
      </c>
      <c r="I35" s="3" t="inlineStr">
        <is>
          <t>Excess / Wet Year (&gt; +20%)</t>
        </is>
      </c>
    </row>
    <row r="36" ht="20" customHeight="1">
      <c r="A36" s="14" t="inlineStr">
        <is>
          <t>34-YR MEAN</t>
        </is>
      </c>
      <c r="B36" s="15">
        <f>AVERAGE(B2:B35)</f>
        <v/>
      </c>
      <c r="C36" s="15">
        <f>AVERAGE(C2:C35)</f>
        <v/>
      </c>
      <c r="D36" s="15">
        <f>AVERAGE(D2:D35)</f>
        <v/>
      </c>
      <c r="E36" s="15">
        <f>AVERAGE(E2:E35)</f>
        <v/>
      </c>
      <c r="F36" s="15">
        <f>AVERAGE(F2:F35)</f>
        <v/>
      </c>
      <c r="G36" s="24" t="n">
        <v>0</v>
      </c>
      <c r="H36" s="25" t="n">
        <v>0</v>
      </c>
      <c r="I36" s="14" t="inlineStr">
        <is>
          <t>Tuljapur Baseline Mean: 762.5 mm (CV = 23.4%)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  <col width="19" customWidth="1" min="4" max="4"/>
    <col width="25" customWidth="1" min="5" max="5"/>
    <col width="48" customWidth="1" min="6" max="6"/>
    <col width="63" customWidth="1" min="7" max="7"/>
  </cols>
  <sheetData>
    <row r="1" ht="28" customHeight="1">
      <c r="A1" s="1" t="inlineStr">
        <is>
          <t>Unit Code</t>
        </is>
      </c>
      <c r="B1" s="1" t="inlineStr">
        <is>
          <t>Geomorphic Landform Description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of Tuljapur (%)</t>
        </is>
      </c>
      <c r="F1" s="1" t="inlineStr">
        <is>
          <t>Infiltration &amp; Ground Water Potential</t>
        </is>
      </c>
      <c r="G1" s="1" t="inlineStr">
        <is>
          <t>Recommended Recharge Structure</t>
        </is>
      </c>
    </row>
    <row r="2" ht="20" customHeight="1">
      <c r="A2" s="2" t="inlineStr">
        <is>
          <t>GM-01</t>
        </is>
      </c>
      <c r="B2" s="2" t="inlineStr">
        <is>
          <t>Plateau Top (Flat Basalt Tableland)</t>
        </is>
      </c>
      <c r="C2" s="12" t="n">
        <v>750.36</v>
      </c>
      <c r="D2" s="5" t="n">
        <v>75036</v>
      </c>
      <c r="E2" s="11" t="n">
        <v>0.5</v>
      </c>
      <c r="F2" s="2" t="inlineStr">
        <is>
          <t>Moderate to Low | Sheet runoff</t>
        </is>
      </c>
      <c r="G2" s="2" t="inlineStr">
        <is>
          <t>Continuous Contour Trenches (CCT), Farm Ponds</t>
        </is>
      </c>
    </row>
    <row r="3" ht="20" customHeight="1">
      <c r="A3" s="3" t="inlineStr">
        <is>
          <t>GM-02</t>
        </is>
      </c>
      <c r="B3" s="3" t="inlineStr">
        <is>
          <t>Weathered Pediplain / Valley Flanks</t>
        </is>
      </c>
      <c r="C3" s="4" t="n">
        <v>480.23</v>
      </c>
      <c r="D3" s="13" t="n">
        <v>48023</v>
      </c>
      <c r="E3" s="6" t="n">
        <v>0.32</v>
      </c>
      <c r="F3" s="3" t="inlineStr">
        <is>
          <t>Moderate to Good | Favorable shallow aquifer</t>
        </is>
      </c>
      <c r="G3" s="3" t="inlineStr">
        <is>
          <t>Percolation Tanks (PT), Check Dams on 2nd-3rd order streams</t>
        </is>
      </c>
    </row>
    <row r="4" ht="20" customHeight="1">
      <c r="A4" s="2" t="inlineStr">
        <is>
          <t>GM-03</t>
        </is>
      </c>
      <c r="B4" s="2" t="inlineStr">
        <is>
          <t>Dissected Plateau / Escarpment Slopes</t>
        </is>
      </c>
      <c r="C4" s="12" t="n">
        <v>142.57</v>
      </c>
      <c r="D4" s="5" t="n">
        <v>14257</v>
      </c>
      <c r="E4" s="11" t="n">
        <v>0.095</v>
      </c>
      <c r="F4" s="2" t="inlineStr">
        <is>
          <t>Low | High velocity runoff, fracture zones</t>
        </is>
      </c>
      <c r="G4" s="2" t="inlineStr">
        <is>
          <t>Loose Boulder Checks (LBC), Gully Plugs, Afforestation</t>
        </is>
      </c>
    </row>
    <row r="5" ht="20" customHeight="1">
      <c r="A5" s="3" t="inlineStr">
        <is>
          <t>GM-04</t>
        </is>
      </c>
      <c r="B5" s="3" t="inlineStr">
        <is>
          <t>Valley Fill / Alluvial Recharge Corridors</t>
        </is>
      </c>
      <c r="C5" s="4" t="n">
        <v>85.54000000000001</v>
      </c>
      <c r="D5" s="13" t="n">
        <v>8554</v>
      </c>
      <c r="E5" s="6" t="n">
        <v>0.057</v>
      </c>
      <c r="F5" s="3" t="inlineStr">
        <is>
          <t>Very Good to Excellent | Maximum yield</t>
        </is>
      </c>
      <c r="G5" s="3" t="inlineStr">
        <is>
          <t>Subsurface Dykes (SSD), Recharge Shafts, Infiltration Wells</t>
        </is>
      </c>
    </row>
    <row r="6" ht="20" customHeight="1">
      <c r="A6" s="2" t="inlineStr">
        <is>
          <t>GM-05</t>
        </is>
      </c>
      <c r="B6" s="2" t="inlineStr">
        <is>
          <t>Surface Waterbodies &amp; Inundation Beds</t>
        </is>
      </c>
      <c r="C6" s="12" t="n">
        <v>42.02</v>
      </c>
      <c r="D6" s="5" t="n">
        <v>4202</v>
      </c>
      <c r="E6" s="11" t="n">
        <v>0.028</v>
      </c>
      <c r="F6" s="2" t="inlineStr">
        <is>
          <t>Perennial to seasonal water storage</t>
        </is>
      </c>
      <c r="G6" s="2" t="inlineStr">
        <is>
          <t>Desiltation of tanks, inlet sediment traps</t>
        </is>
      </c>
    </row>
    <row r="7" ht="20" customHeight="1">
      <c r="A7" s="14" t="inlineStr">
        <is>
          <t>TOTAL</t>
        </is>
      </c>
      <c r="B7" s="14" t="inlineStr">
        <is>
          <t>Tuljapur Geomorphic Spectrum</t>
        </is>
      </c>
      <c r="C7" s="16">
        <f>SUM(C2:C6)</f>
        <v/>
      </c>
      <c r="D7" s="15">
        <f>SUM(D2:D6)</f>
        <v/>
      </c>
      <c r="E7" s="17" t="n">
        <v>1</v>
      </c>
      <c r="F7" s="14" t="inlineStr">
        <is>
          <t>Comprehensive Hydrogeomorphic Regime</t>
        </is>
      </c>
      <c r="G7" s="14" t="inlineStr">
        <is>
          <t>Targeted Artificial Recharge Investment Plan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7" customWidth="1" min="3" max="3"/>
    <col width="15" customWidth="1" min="4" max="4"/>
    <col width="26" customWidth="1" min="5" max="5"/>
    <col width="25" customWidth="1" min="6" max="6"/>
    <col width="56" customWidth="1" min="7" max="7"/>
  </cols>
  <sheetData>
    <row r="1" ht="28" customHeight="1">
      <c r="A1" s="1" t="inlineStr">
        <is>
          <t>Hierarchy Level</t>
        </is>
      </c>
      <c r="B1" s="1" t="inlineStr">
        <is>
          <t>Sheet Index Code</t>
        </is>
      </c>
      <c r="C1" s="1" t="inlineStr">
        <is>
          <t>Survey of India Topo Quad Name</t>
        </is>
      </c>
      <c r="D1" s="1" t="inlineStr">
        <is>
          <t>Parent Quad</t>
        </is>
      </c>
      <c r="E1" s="1" t="inlineStr">
        <is>
          <t>Area in Tuljapur (km²)</t>
        </is>
      </c>
      <c r="F1" s="1" t="inlineStr">
        <is>
          <t>Share of Tuljapur (%)</t>
        </is>
      </c>
      <c r="G1" s="1" t="inlineStr">
        <is>
          <t>Key Villages / Settlements Covered</t>
        </is>
      </c>
    </row>
    <row r="2" ht="20" customHeight="1">
      <c r="A2" s="2" t="inlineStr">
        <is>
          <t>1:250k Quad</t>
        </is>
      </c>
      <c r="B2" s="2" t="inlineStr">
        <is>
          <t>56C</t>
        </is>
      </c>
      <c r="C2" s="2" t="inlineStr">
        <is>
          <t>Sholapur / Osmanabad Quadrangle</t>
        </is>
      </c>
      <c r="D2" s="2" t="inlineStr">
        <is>
          <t>56C</t>
        </is>
      </c>
      <c r="E2" s="12" t="n">
        <v>1069.6</v>
      </c>
      <c r="F2" s="11" t="n">
        <v>0.7127</v>
      </c>
      <c r="G2" s="2" t="inlineStr">
        <is>
          <t>Tuljapur HQ, Naldurg, Kati, Andur, Mangrul west</t>
        </is>
      </c>
    </row>
    <row r="3" ht="20" customHeight="1">
      <c r="A3" s="3" t="inlineStr">
        <is>
          <t>1:250k Quad</t>
        </is>
      </c>
      <c r="B3" s="3" t="inlineStr">
        <is>
          <t>47O</t>
        </is>
      </c>
      <c r="C3" s="3" t="inlineStr">
        <is>
          <t>Solapur / Sina Basin Quadrangle</t>
        </is>
      </c>
      <c r="D3" s="3" t="inlineStr">
        <is>
          <t>47O</t>
        </is>
      </c>
      <c r="E3" s="4" t="n">
        <v>262.8</v>
      </c>
      <c r="F3" s="6" t="n">
        <v>0.1751</v>
      </c>
      <c r="G3" s="3" t="inlineStr">
        <is>
          <t>Tamalwadi, Suratgaon, Wadgaon Kati, Ganjewadi</t>
        </is>
      </c>
    </row>
    <row r="4" ht="20" customHeight="1">
      <c r="A4" s="2" t="inlineStr">
        <is>
          <t>1:250k Quad</t>
        </is>
      </c>
      <c r="B4" s="2" t="inlineStr">
        <is>
          <t>56B</t>
        </is>
      </c>
      <c r="C4" s="2" t="inlineStr">
        <is>
          <t>Bidar / Latur Quadrangle</t>
        </is>
      </c>
      <c r="D4" s="2" t="inlineStr">
        <is>
          <t>56B</t>
        </is>
      </c>
      <c r="E4" s="12" t="n">
        <v>161.2</v>
      </c>
      <c r="F4" s="11" t="n">
        <v>0.1074</v>
      </c>
      <c r="G4" s="2" t="inlineStr">
        <is>
          <t>Kamtha, Apsinga, Bori, Dhekri, Kakramb, Honala</t>
        </is>
      </c>
    </row>
    <row r="5" ht="20" customHeight="1">
      <c r="A5" s="3" t="inlineStr">
        <is>
          <t>1:250k Quad</t>
        </is>
      </c>
      <c r="B5" s="3" t="inlineStr">
        <is>
          <t>47N</t>
        </is>
      </c>
      <c r="C5" s="3" t="inlineStr">
        <is>
          <t>Beed / Godavari Fringe Quadrangle</t>
        </is>
      </c>
      <c r="D5" s="3" t="inlineStr">
        <is>
          <t>47N</t>
        </is>
      </c>
      <c r="E5" s="4" t="n">
        <v>7.12</v>
      </c>
      <c r="F5" s="6" t="n">
        <v>0.0048</v>
      </c>
      <c r="G5" s="3" t="inlineStr">
        <is>
          <t>North-West ridge crest boundary fringe</t>
        </is>
      </c>
    </row>
    <row r="6" ht="20" customHeight="1">
      <c r="A6" s="2" t="inlineStr">
        <is>
          <t>1:50k Tile</t>
        </is>
      </c>
      <c r="B6" s="2" t="inlineStr">
        <is>
          <t>56C/1</t>
        </is>
      </c>
      <c r="C6" s="2" t="inlineStr">
        <is>
          <t>SOI Toposheet 56C/1</t>
        </is>
      </c>
      <c r="D6" s="2" t="inlineStr">
        <is>
          <t>56C</t>
        </is>
      </c>
      <c r="E6" s="12" t="n">
        <v>699.12</v>
      </c>
      <c r="F6" s="11" t="n">
        <v>0.4658</v>
      </c>
      <c r="G6" s="2" t="inlineStr">
        <is>
          <t>Tuljapur HQ, Naldurg town, Kati, Andur, Fulwadi</t>
        </is>
      </c>
    </row>
    <row r="7" ht="20" customHeight="1">
      <c r="A7" s="3" t="inlineStr">
        <is>
          <t>1:50k Tile</t>
        </is>
      </c>
      <c r="B7" s="3" t="inlineStr">
        <is>
          <t>56C/2</t>
        </is>
      </c>
      <c r="C7" s="3" t="inlineStr">
        <is>
          <t>SOI Toposheet 56C/2</t>
        </is>
      </c>
      <c r="D7" s="3" t="inlineStr">
        <is>
          <t>56C</t>
        </is>
      </c>
      <c r="E7" s="4" t="n">
        <v>305.8</v>
      </c>
      <c r="F7" s="6" t="n">
        <v>0.2038</v>
      </c>
      <c r="G7" s="3" t="inlineStr">
        <is>
          <t>Chikundra, Horti, Wadacha Tanda, Salgara Divti</t>
        </is>
      </c>
    </row>
    <row r="8" ht="20" customHeight="1">
      <c r="A8" s="2" t="inlineStr">
        <is>
          <t>1:50k Tile</t>
        </is>
      </c>
      <c r="B8" s="2" t="inlineStr">
        <is>
          <t>47O/4</t>
        </is>
      </c>
      <c r="C8" s="2" t="inlineStr">
        <is>
          <t>SOI Toposheet 47O/4</t>
        </is>
      </c>
      <c r="D8" s="2" t="inlineStr">
        <is>
          <t>47O</t>
        </is>
      </c>
      <c r="E8" s="12" t="n">
        <v>262.71</v>
      </c>
      <c r="F8" s="11" t="n">
        <v>0.1751</v>
      </c>
      <c r="G8" s="2" t="inlineStr">
        <is>
          <t>Tamalwadi, Suratgaon, Wadgaon Kati, Ganjewadi</t>
        </is>
      </c>
    </row>
    <row r="9" ht="20" customHeight="1">
      <c r="A9" s="3" t="inlineStr">
        <is>
          <t>1:50k Tile</t>
        </is>
      </c>
      <c r="B9" s="3" t="inlineStr">
        <is>
          <t>56B/13</t>
        </is>
      </c>
      <c r="C9" s="3" t="inlineStr">
        <is>
          <t>SOI Toposheet 56B/13</t>
        </is>
      </c>
      <c r="D9" s="3" t="inlineStr">
        <is>
          <t>56B</t>
        </is>
      </c>
      <c r="E9" s="4" t="n">
        <v>163.2</v>
      </c>
      <c r="F9" s="6" t="n">
        <v>0.1087</v>
      </c>
      <c r="G9" s="3" t="inlineStr">
        <is>
          <t>Kamtha, Apsinga, Bori, Dhekri, Kakramb</t>
        </is>
      </c>
    </row>
    <row r="10" ht="20" customHeight="1">
      <c r="A10" s="2" t="inlineStr">
        <is>
          <t>1:50k Tile</t>
        </is>
      </c>
      <c r="B10" s="2" t="inlineStr">
        <is>
          <t>56C/5</t>
        </is>
      </c>
      <c r="C10" s="2" t="inlineStr">
        <is>
          <t>SOI Toposheet 56C/5</t>
        </is>
      </c>
      <c r="D10" s="2" t="inlineStr">
        <is>
          <t>56C</t>
        </is>
      </c>
      <c r="E10" s="12" t="n">
        <v>63.83</v>
      </c>
      <c r="F10" s="11" t="n">
        <v>0.0425</v>
      </c>
      <c r="G10" s="2" t="inlineStr">
        <is>
          <t>Devsinga Nal, Nilegaon, Gulhalli (Southern boundary)</t>
        </is>
      </c>
    </row>
    <row r="11" ht="20" customHeight="1">
      <c r="A11" s="3" t="inlineStr">
        <is>
          <t>1:50k Tile</t>
        </is>
      </c>
      <c r="B11" s="3" t="inlineStr">
        <is>
          <t>56B/14</t>
        </is>
      </c>
      <c r="C11" s="3" t="inlineStr">
        <is>
          <t>SOI Toposheet 56B/14</t>
        </is>
      </c>
      <c r="D11" s="3" t="inlineStr">
        <is>
          <t>56B</t>
        </is>
      </c>
      <c r="E11" s="4" t="n">
        <v>52.8</v>
      </c>
      <c r="F11" s="6" t="n">
        <v>0.0352</v>
      </c>
      <c r="G11" s="3" t="inlineStr">
        <is>
          <t>Karla, Wanegaon, Tirth Khurd (North-East border)</t>
        </is>
      </c>
    </row>
    <row r="12" ht="20" customHeight="1">
      <c r="A12" s="2" t="inlineStr">
        <is>
          <t>1:50k Tile</t>
        </is>
      </c>
      <c r="B12" s="2" t="inlineStr">
        <is>
          <t>56C/6</t>
        </is>
      </c>
      <c r="C12" s="2" t="inlineStr">
        <is>
          <t>SOI Toposheet 56C/6</t>
        </is>
      </c>
      <c r="D12" s="2" t="inlineStr">
        <is>
          <t>56C</t>
        </is>
      </c>
      <c r="E12" s="12" t="n">
        <v>34.2</v>
      </c>
      <c r="F12" s="11" t="n">
        <v>0.0228</v>
      </c>
      <c r="G12" s="2" t="inlineStr">
        <is>
          <t>Sindgaon, Kunsawali (South-East fringe)</t>
        </is>
      </c>
    </row>
    <row r="13" ht="20" customHeight="1">
      <c r="A13" s="3" t="inlineStr">
        <is>
          <t>1:50k Tile</t>
        </is>
      </c>
      <c r="B13" s="3" t="inlineStr">
        <is>
          <t>47N/16</t>
        </is>
      </c>
      <c r="C13" s="3" t="inlineStr">
        <is>
          <t>SOI Toposheet 47N/16</t>
        </is>
      </c>
      <c r="D13" s="3" t="inlineStr">
        <is>
          <t>47N</t>
        </is>
      </c>
      <c r="E13" s="4" t="n">
        <v>7.15</v>
      </c>
      <c r="F13" s="6" t="n">
        <v>0.0048</v>
      </c>
      <c r="G13" s="3" t="inlineStr">
        <is>
          <t>North-West ridge boundary with Beed district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4" customWidth="1" min="4" max="4"/>
    <col width="12" customWidth="1" min="5" max="5"/>
    <col width="62" customWidth="1" min="6" max="6"/>
    <col width="21" customWidth="1" min="7" max="7"/>
    <col width="24" customWidth="1" min="8" max="8"/>
    <col width="29" customWidth="1" min="9" max="9"/>
    <col width="25" customWidth="1" min="10" max="10"/>
    <col width="27" customWidth="1" min="11" max="11"/>
    <col width="29" customWidth="1" min="12" max="12"/>
  </cols>
  <sheetData>
    <row r="1" ht="28" customHeight="1">
      <c r="A1" s="1" t="inlineStr">
        <is>
          <t>Serial No</t>
        </is>
      </c>
      <c r="B1" s="1" t="inlineStr">
        <is>
          <t>Well ID</t>
        </is>
      </c>
      <c r="C1" s="1" t="inlineStr">
        <is>
          <t>Location</t>
        </is>
      </c>
      <c r="D1" s="1" t="inlineStr">
        <is>
          <t>Taluka</t>
        </is>
      </c>
      <c r="E1" s="1" t="inlineStr">
        <is>
          <t>District</t>
        </is>
      </c>
      <c r="F1" s="1" t="inlineStr">
        <is>
          <t>Major Lithology</t>
        </is>
      </c>
      <c r="G1" s="1" t="inlineStr">
        <is>
          <t>Depth Drilled (m)</t>
        </is>
      </c>
      <c r="H1" s="1" t="inlineStr">
        <is>
          <t>Bedrock Depth (mbgl)</t>
        </is>
      </c>
      <c r="I1" s="1" t="inlineStr">
        <is>
          <t>Static Water Level (mbgl)</t>
        </is>
      </c>
      <c r="J1" s="1" t="inlineStr">
        <is>
          <t>Discharge Yield (lps)</t>
        </is>
      </c>
      <c r="K1" s="1" t="inlineStr">
        <is>
          <t>Transmissivity (m²/day)</t>
        </is>
      </c>
      <c r="L1" s="1" t="inlineStr">
        <is>
          <t>Distance to Tuljapur (km)</t>
        </is>
      </c>
    </row>
    <row r="2" ht="20" customHeight="1">
      <c r="A2" s="10" t="n">
        <v>1</v>
      </c>
      <c r="B2" s="2" t="inlineStr">
        <is>
          <t>nan</t>
        </is>
      </c>
      <c r="C2" s="2" t="inlineStr">
        <is>
          <t>Ekambi</t>
        </is>
      </c>
      <c r="D2" s="2" t="inlineStr">
        <is>
          <t>Ausa</t>
        </is>
      </c>
      <c r="E2" s="2" t="inlineStr">
        <is>
          <t>Latur</t>
        </is>
      </c>
      <c r="F2" s="2" t="inlineStr">
        <is>
          <t>Massive Fractured Basalt</t>
        </is>
      </c>
      <c r="G2" s="5" t="n">
        <v>200</v>
      </c>
      <c r="H2" s="2" t="inlineStr">
        <is>
          <t>N/A</t>
        </is>
      </c>
      <c r="I2" s="5" t="n">
        <v>130</v>
      </c>
      <c r="J2" s="2" t="inlineStr">
        <is>
          <t>N/A</t>
        </is>
      </c>
      <c r="K2" s="2" t="inlineStr">
        <is>
          <t>N/A</t>
        </is>
      </c>
      <c r="L2" s="5" t="n">
        <v>6.3</v>
      </c>
    </row>
    <row r="3" ht="20" customHeight="1">
      <c r="A3" s="9" t="n">
        <v>2</v>
      </c>
      <c r="B3" s="3" t="inlineStr">
        <is>
          <t>nan</t>
        </is>
      </c>
      <c r="C3" s="3" t="inlineStr">
        <is>
          <t>Kokalgaon</t>
        </is>
      </c>
      <c r="D3" s="3" t="inlineStr">
        <is>
          <t>Nilanga</t>
        </is>
      </c>
      <c r="E3" s="3" t="inlineStr">
        <is>
          <t>Latur</t>
        </is>
      </c>
      <c r="F3" s="3" t="inlineStr">
        <is>
          <t>Massive Fractured Basalt, Vesicular Basalt</t>
        </is>
      </c>
      <c r="G3" s="13" t="n">
        <v>178.2</v>
      </c>
      <c r="H3" s="3" t="inlineStr">
        <is>
          <t>N/A</t>
        </is>
      </c>
      <c r="I3" s="13" t="n">
        <v>90</v>
      </c>
      <c r="J3" s="13" t="n">
        <v>8.199999999999999</v>
      </c>
      <c r="K3" s="3" t="inlineStr">
        <is>
          <t>N/A</t>
        </is>
      </c>
      <c r="L3" s="13" t="n">
        <v>8.4</v>
      </c>
    </row>
    <row r="4" ht="20" customHeight="1">
      <c r="A4" s="10" t="n">
        <v>3</v>
      </c>
      <c r="B4" s="2" t="inlineStr">
        <is>
          <t>nan</t>
        </is>
      </c>
      <c r="C4" s="2" t="inlineStr">
        <is>
          <t>Chincholi Son</t>
        </is>
      </c>
      <c r="D4" s="2" t="inlineStr">
        <is>
          <t>Ausa</t>
        </is>
      </c>
      <c r="E4" s="2" t="inlineStr">
        <is>
          <t>Latur</t>
        </is>
      </c>
      <c r="F4" s="2" t="inlineStr">
        <is>
          <t>Massive Fractured Basalt, Vesicular Fractured Basalt</t>
        </is>
      </c>
      <c r="G4" s="5" t="n">
        <v>209.2</v>
      </c>
      <c r="H4" s="2" t="inlineStr">
        <is>
          <t>N/A</t>
        </is>
      </c>
      <c r="I4" s="5" t="n">
        <v>104</v>
      </c>
      <c r="J4" s="5" t="n">
        <v>23</v>
      </c>
      <c r="K4" s="2" t="inlineStr">
        <is>
          <t>N/A</t>
        </is>
      </c>
      <c r="L4" s="5" t="n">
        <v>10.2</v>
      </c>
    </row>
    <row r="5" ht="20" customHeight="1">
      <c r="A5" s="9" t="n">
        <v>4</v>
      </c>
      <c r="B5" s="3" t="inlineStr">
        <is>
          <t>nan</t>
        </is>
      </c>
      <c r="C5" s="3" t="inlineStr">
        <is>
          <t>Masle Chaudhary Ew</t>
        </is>
      </c>
      <c r="D5" s="3" t="inlineStr">
        <is>
          <t>Mohol</t>
        </is>
      </c>
      <c r="E5" s="3" t="inlineStr">
        <is>
          <t>Solapur</t>
        </is>
      </c>
      <c r="F5" s="3" t="inlineStr">
        <is>
          <t>Fractured Vesicular Basalt</t>
        </is>
      </c>
      <c r="G5" s="13" t="n">
        <v>200</v>
      </c>
      <c r="H5" s="3" t="inlineStr">
        <is>
          <t>N/A</t>
        </is>
      </c>
      <c r="I5" s="13" t="n">
        <v>40</v>
      </c>
      <c r="J5" s="13" t="n">
        <v>5.94</v>
      </c>
      <c r="K5" s="3" t="inlineStr">
        <is>
          <t>N/A</t>
        </is>
      </c>
      <c r="L5" s="13" t="n">
        <v>12.2</v>
      </c>
    </row>
    <row r="6" ht="20" customHeight="1">
      <c r="A6" s="10" t="n">
        <v>5</v>
      </c>
      <c r="B6" s="2" t="inlineStr">
        <is>
          <t>nan</t>
        </is>
      </c>
      <c r="C6" s="2" t="inlineStr">
        <is>
          <t>Masle Chaudhary Ow</t>
        </is>
      </c>
      <c r="D6" s="2" t="inlineStr">
        <is>
          <t>Mohol</t>
        </is>
      </c>
      <c r="E6" s="2" t="inlineStr">
        <is>
          <t>Solapur</t>
        </is>
      </c>
      <c r="F6" s="2" t="inlineStr">
        <is>
          <t>Fractured Vesicular Basalt</t>
        </is>
      </c>
      <c r="G6" s="5" t="n">
        <v>100</v>
      </c>
      <c r="H6" s="2" t="inlineStr">
        <is>
          <t>N/A</t>
        </is>
      </c>
      <c r="I6" s="5" t="n">
        <v>59</v>
      </c>
      <c r="J6" s="5" t="n">
        <v>3.17</v>
      </c>
      <c r="K6" s="2" t="inlineStr">
        <is>
          <t>N/A</t>
        </is>
      </c>
      <c r="L6" s="5" t="n">
        <v>12.2</v>
      </c>
    </row>
    <row r="7" ht="20" customHeight="1">
      <c r="A7" s="9" t="n">
        <v>6</v>
      </c>
      <c r="B7" s="3" t="inlineStr">
        <is>
          <t>nan</t>
        </is>
      </c>
      <c r="C7" s="3" t="inlineStr">
        <is>
          <t>Pimpalwadi (Jeori)</t>
        </is>
      </c>
      <c r="D7" s="3" t="inlineStr">
        <is>
          <t>Nilanga</t>
        </is>
      </c>
      <c r="E7" s="3" t="inlineStr">
        <is>
          <t>Latur</t>
        </is>
      </c>
      <c r="F7" s="3" t="inlineStr">
        <is>
          <t>Esicular Basalt</t>
        </is>
      </c>
      <c r="G7" s="13" t="n">
        <v>202.6</v>
      </c>
      <c r="H7" s="3" t="inlineStr">
        <is>
          <t>N/A</t>
        </is>
      </c>
      <c r="I7" s="13" t="n">
        <v>175</v>
      </c>
      <c r="J7" s="13" t="n">
        <v>8.4</v>
      </c>
      <c r="K7" s="3" t="inlineStr">
        <is>
          <t>N/A</t>
        </is>
      </c>
      <c r="L7" s="13" t="n">
        <v>13</v>
      </c>
    </row>
    <row r="8" ht="20" customHeight="1">
      <c r="A8" s="10" t="n">
        <v>7</v>
      </c>
      <c r="B8" s="2" t="inlineStr">
        <is>
          <t>nan</t>
        </is>
      </c>
      <c r="C8" s="2" t="inlineStr">
        <is>
          <t>Solapur Imd</t>
        </is>
      </c>
      <c r="D8" s="2" t="inlineStr">
        <is>
          <t>N.Solapur</t>
        </is>
      </c>
      <c r="E8" s="2" t="inlineStr">
        <is>
          <t>Solapur</t>
        </is>
      </c>
      <c r="F8" s="2" t="inlineStr">
        <is>
          <t>Weathered Fractured Basalt</t>
        </is>
      </c>
      <c r="G8" s="5" t="n">
        <v>40</v>
      </c>
      <c r="H8" s="2" t="inlineStr">
        <is>
          <t>N/A</t>
        </is>
      </c>
      <c r="I8" s="5" t="n">
        <v>16.3</v>
      </c>
      <c r="J8" s="5" t="n">
        <v>0.04</v>
      </c>
      <c r="K8" s="2" t="inlineStr">
        <is>
          <t>N/A</t>
        </is>
      </c>
      <c r="L8" s="5" t="n">
        <v>14.1</v>
      </c>
    </row>
    <row r="9" ht="20" customHeight="1">
      <c r="A9" s="9" t="n">
        <v>8</v>
      </c>
      <c r="B9" s="3" t="inlineStr">
        <is>
          <t>nan</t>
        </is>
      </c>
      <c r="C9" s="3" t="inlineStr">
        <is>
          <t>Kasar Sirsi</t>
        </is>
      </c>
      <c r="D9" s="3" t="inlineStr">
        <is>
          <t>Nilanga</t>
        </is>
      </c>
      <c r="E9" s="3" t="inlineStr">
        <is>
          <t>Latur</t>
        </is>
      </c>
      <c r="F9" s="3" t="inlineStr">
        <is>
          <t>Massive Basalt</t>
        </is>
      </c>
      <c r="G9" s="13" t="n">
        <v>202.9</v>
      </c>
      <c r="H9" s="3" t="inlineStr">
        <is>
          <t>N/A</t>
        </is>
      </c>
      <c r="I9" s="13" t="n">
        <v>46</v>
      </c>
      <c r="J9" s="13" t="n">
        <v>8</v>
      </c>
      <c r="K9" s="3" t="inlineStr">
        <is>
          <t>N/A</t>
        </is>
      </c>
      <c r="L9" s="13" t="n">
        <v>21.4</v>
      </c>
    </row>
    <row r="10" ht="20" customHeight="1">
      <c r="A10" s="10" t="n">
        <v>9</v>
      </c>
      <c r="B10" s="2" t="inlineStr">
        <is>
          <t>nan</t>
        </is>
      </c>
      <c r="C10" s="2" t="inlineStr">
        <is>
          <t>Chincholi Sayakhan</t>
        </is>
      </c>
      <c r="D10" s="2" t="inlineStr">
        <is>
          <t>Nilanga</t>
        </is>
      </c>
      <c r="E10" s="2" t="inlineStr">
        <is>
          <t>Latur</t>
        </is>
      </c>
      <c r="F10" s="2" t="inlineStr">
        <is>
          <t>Vesicular Basalt, Fractured Massive Basalt</t>
        </is>
      </c>
      <c r="G10" s="5" t="n">
        <v>184</v>
      </c>
      <c r="H10" s="2" t="inlineStr">
        <is>
          <t>N/A</t>
        </is>
      </c>
      <c r="I10" s="5" t="n">
        <v>72</v>
      </c>
      <c r="J10" s="5" t="n">
        <v>4.43</v>
      </c>
      <c r="K10" s="2" t="inlineStr">
        <is>
          <t>N/A</t>
        </is>
      </c>
      <c r="L10" s="5" t="n">
        <v>22.6</v>
      </c>
    </row>
    <row r="11" ht="20" customHeight="1">
      <c r="A11" s="9" t="n">
        <v>10</v>
      </c>
      <c r="B11" s="3" t="inlineStr">
        <is>
          <t>nan</t>
        </is>
      </c>
      <c r="C11" s="3" t="inlineStr">
        <is>
          <t>Ansarwada</t>
        </is>
      </c>
      <c r="D11" s="3" t="inlineStr">
        <is>
          <t>Nilanga</t>
        </is>
      </c>
      <c r="E11" s="3" t="inlineStr">
        <is>
          <t>Latur</t>
        </is>
      </c>
      <c r="F11" s="3" t="inlineStr">
        <is>
          <t>Fractured Vesicular Massive Basalt</t>
        </is>
      </c>
      <c r="G11" s="13" t="n">
        <v>200</v>
      </c>
      <c r="H11" s="3" t="inlineStr">
        <is>
          <t>N/A</t>
        </is>
      </c>
      <c r="I11" s="13" t="n">
        <v>62.3</v>
      </c>
      <c r="J11" s="13" t="n">
        <v>0.14</v>
      </c>
      <c r="K11" s="3" t="inlineStr">
        <is>
          <t>N/A</t>
        </is>
      </c>
      <c r="L11" s="13" t="n">
        <v>25.7</v>
      </c>
    </row>
    <row r="12" ht="20" customHeight="1">
      <c r="A12" s="10" t="n">
        <v>11</v>
      </c>
      <c r="B12" s="2" t="inlineStr">
        <is>
          <t>nan</t>
        </is>
      </c>
      <c r="C12" s="2" t="inlineStr">
        <is>
          <t>Hattur</t>
        </is>
      </c>
      <c r="D12" s="2" t="inlineStr">
        <is>
          <t>S.Solapur</t>
        </is>
      </c>
      <c r="E12" s="2" t="inlineStr">
        <is>
          <t>Solapur</t>
        </is>
      </c>
      <c r="F12" s="2" t="inlineStr">
        <is>
          <t>Fractured Massive Basalt, Vesicular Basalt-Fractured</t>
        </is>
      </c>
      <c r="G12" s="5" t="n">
        <v>200</v>
      </c>
      <c r="H12" s="2" t="inlineStr">
        <is>
          <t>N/A</t>
        </is>
      </c>
      <c r="I12" s="5" t="n">
        <v>14.84</v>
      </c>
      <c r="J12" s="2" t="inlineStr">
        <is>
          <t>N/A</t>
        </is>
      </c>
      <c r="K12" s="2" t="inlineStr">
        <is>
          <t>N/A</t>
        </is>
      </c>
      <c r="L12" s="5" t="n">
        <v>25.8</v>
      </c>
    </row>
    <row r="13" ht="20" customHeight="1">
      <c r="A13" s="9" t="n">
        <v>12</v>
      </c>
      <c r="B13" s="3" t="inlineStr">
        <is>
          <t>nan</t>
        </is>
      </c>
      <c r="C13" s="3" t="inlineStr">
        <is>
          <t>Shivani Kotal</t>
        </is>
      </c>
      <c r="D13" s="3" t="inlineStr">
        <is>
          <t>Nilanga</t>
        </is>
      </c>
      <c r="E13" s="3" t="inlineStr">
        <is>
          <t>Latur</t>
        </is>
      </c>
      <c r="F13" s="3" t="inlineStr">
        <is>
          <t>Massive Fractured Basalt, Vesicular Basalt</t>
        </is>
      </c>
      <c r="G13" s="13" t="n">
        <v>203</v>
      </c>
      <c r="H13" s="3" t="inlineStr">
        <is>
          <t>N/A</t>
        </is>
      </c>
      <c r="I13" s="13" t="n">
        <v>16</v>
      </c>
      <c r="J13" s="13" t="n">
        <v>61</v>
      </c>
      <c r="K13" s="3" t="inlineStr">
        <is>
          <t>N/A</t>
        </is>
      </c>
      <c r="L13" s="13" t="n">
        <v>25.8</v>
      </c>
    </row>
    <row r="14" ht="20" customHeight="1">
      <c r="A14" s="10" t="n">
        <v>13</v>
      </c>
      <c r="B14" s="2" t="inlineStr">
        <is>
          <t>nan</t>
        </is>
      </c>
      <c r="C14" s="2" t="inlineStr">
        <is>
          <t>Pokhrapur</t>
        </is>
      </c>
      <c r="D14" s="2" t="inlineStr">
        <is>
          <t>Mohol</t>
        </is>
      </c>
      <c r="E14" s="2" t="inlineStr">
        <is>
          <t>Solapur</t>
        </is>
      </c>
      <c r="F14" s="2" t="inlineStr">
        <is>
          <t>Fractured Massive Basalt</t>
        </is>
      </c>
      <c r="G14" s="5" t="n">
        <v>200</v>
      </c>
      <c r="H14" s="2" t="inlineStr">
        <is>
          <t>N/A</t>
        </is>
      </c>
      <c r="I14" s="5" t="n">
        <v>50.2</v>
      </c>
      <c r="J14" s="5" t="n">
        <v>2.16</v>
      </c>
      <c r="K14" s="2" t="inlineStr">
        <is>
          <t>N/A</t>
        </is>
      </c>
      <c r="L14" s="5" t="n">
        <v>29.3</v>
      </c>
    </row>
    <row r="15" ht="20" customHeight="1">
      <c r="A15" s="9" t="n">
        <v>14</v>
      </c>
      <c r="B15" s="3" t="inlineStr">
        <is>
          <t>nan</t>
        </is>
      </c>
      <c r="C15" s="3" t="inlineStr">
        <is>
          <t>Niwali</t>
        </is>
      </c>
      <c r="D15" s="3" t="inlineStr">
        <is>
          <t>Latur</t>
        </is>
      </c>
      <c r="E15" s="3" t="inlineStr">
        <is>
          <t>Latur</t>
        </is>
      </c>
      <c r="F15" s="3" t="inlineStr">
        <is>
          <t>NA</t>
        </is>
      </c>
      <c r="G15" s="13" t="n">
        <v>200</v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13" t="n">
        <v>29.7</v>
      </c>
    </row>
    <row r="16" ht="20" customHeight="1">
      <c r="A16" s="10" t="n">
        <v>15</v>
      </c>
      <c r="B16" s="2" t="inlineStr">
        <is>
          <t>nan</t>
        </is>
      </c>
      <c r="C16" s="2" t="inlineStr">
        <is>
          <t>Gangapur</t>
        </is>
      </c>
      <c r="D16" s="2" t="inlineStr">
        <is>
          <t>Latur</t>
        </is>
      </c>
      <c r="E16" s="2" t="inlineStr">
        <is>
          <t>Latur</t>
        </is>
      </c>
      <c r="F16" s="2" t="inlineStr">
        <is>
          <t>Fractured Massive Basalt</t>
        </is>
      </c>
      <c r="G16" s="5" t="n">
        <v>200</v>
      </c>
      <c r="H16" s="2" t="inlineStr">
        <is>
          <t>N/A</t>
        </is>
      </c>
      <c r="I16" s="5" t="n">
        <v>110</v>
      </c>
      <c r="J16" s="5" t="n">
        <v>0.138</v>
      </c>
      <c r="K16" s="2" t="inlineStr">
        <is>
          <t>N/A</t>
        </is>
      </c>
      <c r="L16" s="5" t="n">
        <v>31.6</v>
      </c>
    </row>
    <row r="17" ht="20" customHeight="1">
      <c r="A17" s="9" t="n">
        <v>16</v>
      </c>
      <c r="B17" s="3" t="inlineStr">
        <is>
          <t>nan</t>
        </is>
      </c>
      <c r="C17" s="3" t="inlineStr">
        <is>
          <t>Nandgaon</t>
        </is>
      </c>
      <c r="D17" s="3" t="inlineStr">
        <is>
          <t>Ausa</t>
        </is>
      </c>
      <c r="E17" s="3" t="inlineStr">
        <is>
          <t>Latur</t>
        </is>
      </c>
      <c r="F17" s="3" t="inlineStr">
        <is>
          <t>Fractured Massive Basalt</t>
        </is>
      </c>
      <c r="G17" s="13" t="n">
        <v>184</v>
      </c>
      <c r="H17" s="3" t="inlineStr">
        <is>
          <t>N/A</t>
        </is>
      </c>
      <c r="I17" s="13" t="n">
        <v>102.15</v>
      </c>
      <c r="J17" s="13" t="n">
        <v>50</v>
      </c>
      <c r="K17" s="3" t="inlineStr">
        <is>
          <t>N/A</t>
        </is>
      </c>
      <c r="L17" s="13" t="n">
        <v>32.3</v>
      </c>
    </row>
    <row r="18" ht="20" customHeight="1">
      <c r="A18" s="10" t="n">
        <v>17</v>
      </c>
      <c r="B18" s="2" t="inlineStr">
        <is>
          <t>nan</t>
        </is>
      </c>
      <c r="C18" s="2" t="inlineStr">
        <is>
          <t>Arjunagi</t>
        </is>
      </c>
      <c r="D18" s="2" t="inlineStr">
        <is>
          <t>Afzalpur</t>
        </is>
      </c>
      <c r="E18" s="2" t="inlineStr">
        <is>
          <t>Gulbarga</t>
        </is>
      </c>
      <c r="F18" s="2" t="inlineStr">
        <is>
          <t>Basalt, Shale, Limestone</t>
        </is>
      </c>
      <c r="G18" s="5" t="n">
        <v>165</v>
      </c>
      <c r="H18" s="2" t="inlineStr">
        <is>
          <t>N/A</t>
        </is>
      </c>
      <c r="I18" s="5" t="n">
        <v>0.63</v>
      </c>
      <c r="J18" s="5" t="n">
        <v>0.4</v>
      </c>
      <c r="K18" s="2" t="inlineStr">
        <is>
          <t>N/A</t>
        </is>
      </c>
      <c r="L18" s="5" t="n">
        <v>32.4</v>
      </c>
    </row>
    <row r="19" ht="20" customHeight="1">
      <c r="A19" s="9" t="n">
        <v>18</v>
      </c>
      <c r="B19" s="3" t="inlineStr">
        <is>
          <t>nan</t>
        </is>
      </c>
      <c r="C19" s="3" t="inlineStr">
        <is>
          <t>Mamdapur</t>
        </is>
      </c>
      <c r="D19" s="3" t="inlineStr">
        <is>
          <t>Nilanga</t>
        </is>
      </c>
      <c r="E19" s="3" t="inlineStr">
        <is>
          <t>Latur</t>
        </is>
      </c>
      <c r="F19" s="3" t="inlineStr">
        <is>
          <t>Esicular Basalt</t>
        </is>
      </c>
      <c r="G19" s="13" t="n">
        <v>203</v>
      </c>
      <c r="H19" s="3" t="inlineStr">
        <is>
          <t>N/A</t>
        </is>
      </c>
      <c r="I19" s="3" t="inlineStr">
        <is>
          <t>N/A</t>
        </is>
      </c>
      <c r="J19" s="13" t="n">
        <v>2.64</v>
      </c>
      <c r="K19" s="3" t="inlineStr">
        <is>
          <t>N/A</t>
        </is>
      </c>
      <c r="L19" s="13" t="n">
        <v>34.3</v>
      </c>
    </row>
    <row r="20" ht="20" customHeight="1">
      <c r="A20" s="10" t="n">
        <v>19</v>
      </c>
      <c r="B20" s="2" t="inlineStr">
        <is>
          <t>nan</t>
        </is>
      </c>
      <c r="C20" s="2" t="inlineStr">
        <is>
          <t>Murud Ow</t>
        </is>
      </c>
      <c r="D20" s="2" t="inlineStr">
        <is>
          <t>Latur</t>
        </is>
      </c>
      <c r="E20" s="2" t="inlineStr">
        <is>
          <t>Latur</t>
        </is>
      </c>
      <c r="F20" s="2" t="inlineStr">
        <is>
          <t>Fractured Basalt, Vesicular Basalt</t>
        </is>
      </c>
      <c r="G20" s="5" t="n">
        <v>125</v>
      </c>
      <c r="H20" s="2" t="inlineStr">
        <is>
          <t>N/A</t>
        </is>
      </c>
      <c r="I20" s="5" t="n">
        <v>70</v>
      </c>
      <c r="J20" s="5" t="n">
        <v>3.169</v>
      </c>
      <c r="K20" s="2" t="inlineStr">
        <is>
          <t>N/A</t>
        </is>
      </c>
      <c r="L20" s="5" t="n">
        <v>34.5</v>
      </c>
    </row>
    <row r="21" ht="20" customHeight="1">
      <c r="A21" s="9" t="n">
        <v>20</v>
      </c>
      <c r="B21" s="3" t="inlineStr">
        <is>
          <t>nan</t>
        </is>
      </c>
      <c r="C21" s="3" t="inlineStr">
        <is>
          <t>Murud Ew</t>
        </is>
      </c>
      <c r="D21" s="3" t="inlineStr">
        <is>
          <t>Latur</t>
        </is>
      </c>
      <c r="E21" s="3" t="inlineStr">
        <is>
          <t>Latur</t>
        </is>
      </c>
      <c r="F21" s="3" t="inlineStr">
        <is>
          <t>Fractured Basalt, Vesicular Basalt</t>
        </is>
      </c>
      <c r="G21" s="13" t="n">
        <v>200</v>
      </c>
      <c r="H21" s="3" t="inlineStr">
        <is>
          <t>N/A</t>
        </is>
      </c>
      <c r="I21" s="13" t="n">
        <v>69.42</v>
      </c>
      <c r="J21" s="13" t="n">
        <v>3.17</v>
      </c>
      <c r="K21" s="3" t="inlineStr">
        <is>
          <t>N/A</t>
        </is>
      </c>
      <c r="L21" s="13" t="n">
        <v>34.5</v>
      </c>
    </row>
    <row r="22" ht="20" customHeight="1">
      <c r="A22" s="10" t="n">
        <v>21</v>
      </c>
      <c r="B22" s="2" t="inlineStr">
        <is>
          <t>nan</t>
        </is>
      </c>
      <c r="C22" s="2" t="inlineStr">
        <is>
          <t>Chikurda</t>
        </is>
      </c>
      <c r="D22" s="2" t="inlineStr">
        <is>
          <t>Latur</t>
        </is>
      </c>
      <c r="E22" s="2" t="inlineStr">
        <is>
          <t>Latur</t>
        </is>
      </c>
      <c r="F22" s="2" t="inlineStr">
        <is>
          <t>NA</t>
        </is>
      </c>
      <c r="G22" s="5" t="n">
        <v>200</v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5" t="n">
        <v>36.6</v>
      </c>
    </row>
    <row r="23" ht="20" customHeight="1">
      <c r="A23" s="9" t="n">
        <v>22</v>
      </c>
      <c r="B23" s="3" t="inlineStr">
        <is>
          <t>nan</t>
        </is>
      </c>
      <c r="C23" s="3" t="inlineStr">
        <is>
          <t>Badadal</t>
        </is>
      </c>
      <c r="D23" s="3" t="inlineStr">
        <is>
          <t>Afzalpur</t>
        </is>
      </c>
      <c r="E23" s="3" t="inlineStr">
        <is>
          <t>Gulbarga</t>
        </is>
      </c>
      <c r="F23" s="3" t="inlineStr">
        <is>
          <t>Basalt, Shale, Limestone</t>
        </is>
      </c>
      <c r="G23" s="13" t="n">
        <v>201.6</v>
      </c>
      <c r="H23" s="3" t="inlineStr">
        <is>
          <t>N/A</t>
        </is>
      </c>
      <c r="I23" s="13" t="n">
        <v>18.34</v>
      </c>
      <c r="J23" s="13" t="n">
        <v>0.3</v>
      </c>
      <c r="K23" s="3" t="inlineStr">
        <is>
          <t>N/A</t>
        </is>
      </c>
      <c r="L23" s="13" t="n">
        <v>37.7</v>
      </c>
    </row>
    <row r="24" ht="20" customHeight="1">
      <c r="A24" s="10" t="n">
        <v>23</v>
      </c>
      <c r="B24" s="2" t="inlineStr">
        <is>
          <t>nan</t>
        </is>
      </c>
      <c r="C24" s="2" t="inlineStr">
        <is>
          <t>Khadgaon</t>
        </is>
      </c>
      <c r="D24" s="2" t="inlineStr">
        <is>
          <t>Latur</t>
        </is>
      </c>
      <c r="E24" s="2" t="inlineStr">
        <is>
          <t>Latur</t>
        </is>
      </c>
      <c r="F24" s="2" t="inlineStr">
        <is>
          <t>Esicular Basalt</t>
        </is>
      </c>
      <c r="G24" s="5" t="n">
        <v>203</v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5" t="n">
        <v>38</v>
      </c>
    </row>
    <row r="25" ht="20" customHeight="1">
      <c r="A25" s="9" t="n">
        <v>24</v>
      </c>
      <c r="B25" s="3" t="inlineStr">
        <is>
          <t>nan</t>
        </is>
      </c>
      <c r="C25" s="3" t="inlineStr">
        <is>
          <t>Babhalgaon</t>
        </is>
      </c>
      <c r="D25" s="3" t="inlineStr">
        <is>
          <t>Latur</t>
        </is>
      </c>
      <c r="E25" s="3" t="inlineStr">
        <is>
          <t>Latur</t>
        </is>
      </c>
      <c r="F25" s="3" t="inlineStr">
        <is>
          <t>Fractured Massive Basalt</t>
        </is>
      </c>
      <c r="G25" s="13" t="n">
        <v>200</v>
      </c>
      <c r="H25" s="3" t="inlineStr">
        <is>
          <t>N/A</t>
        </is>
      </c>
      <c r="I25" s="13" t="n">
        <v>18.6</v>
      </c>
      <c r="J25" s="13" t="n">
        <v>0.78</v>
      </c>
      <c r="K25" s="3" t="inlineStr">
        <is>
          <t>N/A</t>
        </is>
      </c>
      <c r="L25" s="13" t="n">
        <v>38</v>
      </c>
    </row>
    <row r="26" ht="20" customHeight="1">
      <c r="A26" s="10" t="n">
        <v>25</v>
      </c>
      <c r="B26" s="2" t="inlineStr">
        <is>
          <t>nan</t>
        </is>
      </c>
      <c r="C26" s="2" t="inlineStr">
        <is>
          <t>Ankalgi</t>
        </is>
      </c>
      <c r="D26" s="2" t="inlineStr">
        <is>
          <t>Afzalpur</t>
        </is>
      </c>
      <c r="E26" s="2" t="inlineStr">
        <is>
          <t>Gulbarga</t>
        </is>
      </c>
      <c r="F26" s="2" t="inlineStr">
        <is>
          <t>Basalt, Shale, Limestone</t>
        </is>
      </c>
      <c r="G26" s="5" t="n">
        <v>201.6</v>
      </c>
      <c r="H26" s="2" t="inlineStr">
        <is>
          <t>N/A</t>
        </is>
      </c>
      <c r="I26" s="5" t="n">
        <v>31.6</v>
      </c>
      <c r="J26" s="5" t="n">
        <v>0.14</v>
      </c>
      <c r="K26" s="5" t="n">
        <v>4.9</v>
      </c>
      <c r="L26" s="5" t="n">
        <v>39.1</v>
      </c>
    </row>
    <row r="27" ht="20" customHeight="1">
      <c r="A27" s="9" t="n">
        <v>26</v>
      </c>
      <c r="B27" s="3" t="inlineStr">
        <is>
          <t>nan</t>
        </is>
      </c>
      <c r="C27" s="3" t="inlineStr">
        <is>
          <t>Motephal</t>
        </is>
      </c>
      <c r="D27" s="3" t="inlineStr">
        <is>
          <t>Latur</t>
        </is>
      </c>
      <c r="E27" s="3" t="inlineStr">
        <is>
          <t>Latur</t>
        </is>
      </c>
      <c r="F27" s="3" t="inlineStr">
        <is>
          <t>NA</t>
        </is>
      </c>
      <c r="G27" s="13" t="n">
        <v>200</v>
      </c>
      <c r="H27" s="3" t="inlineStr">
        <is>
          <t>N/A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N/A</t>
        </is>
      </c>
      <c r="L27" s="13" t="n">
        <v>39.1</v>
      </c>
    </row>
    <row r="28" ht="20" customHeight="1">
      <c r="A28" s="10" t="n">
        <v>27</v>
      </c>
      <c r="B28" s="2" t="inlineStr">
        <is>
          <t>nan</t>
        </is>
      </c>
      <c r="C28" s="2" t="inlineStr">
        <is>
          <t>Akharwai</t>
        </is>
      </c>
      <c r="D28" s="2" t="inlineStr">
        <is>
          <t>Latur</t>
        </is>
      </c>
      <c r="E28" s="2" t="inlineStr">
        <is>
          <t>Latur</t>
        </is>
      </c>
      <c r="F28" s="2" t="inlineStr">
        <is>
          <t>Fractured Massive Basalt</t>
        </is>
      </c>
      <c r="G28" s="5" t="n">
        <v>200</v>
      </c>
      <c r="H28" s="2" t="inlineStr">
        <is>
          <t>N/A</t>
        </is>
      </c>
      <c r="I28" s="5" t="n">
        <v>122</v>
      </c>
      <c r="J28" s="5" t="n">
        <v>3.169</v>
      </c>
      <c r="K28" s="2" t="inlineStr">
        <is>
          <t>N/A</t>
        </is>
      </c>
      <c r="L28" s="5" t="n">
        <v>39.2</v>
      </c>
    </row>
    <row r="29" ht="20" customHeight="1">
      <c r="A29" s="9" t="n">
        <v>28</v>
      </c>
      <c r="B29" s="3" t="inlineStr">
        <is>
          <t>nan</t>
        </is>
      </c>
      <c r="C29" s="3" t="inlineStr">
        <is>
          <t>Sumthana</t>
        </is>
      </c>
      <c r="D29" s="3" t="inlineStr">
        <is>
          <t>Latur</t>
        </is>
      </c>
      <c r="E29" s="3" t="inlineStr">
        <is>
          <t>Latur</t>
        </is>
      </c>
      <c r="F29" s="3" t="inlineStr">
        <is>
          <t>Massive Fractured Basalt, Vesicular Basalt</t>
        </is>
      </c>
      <c r="G29" s="13" t="n">
        <v>141.8</v>
      </c>
      <c r="H29" s="3" t="inlineStr">
        <is>
          <t>N/A</t>
        </is>
      </c>
      <c r="I29" s="13" t="n">
        <v>96</v>
      </c>
      <c r="J29" s="13" t="n">
        <v>8</v>
      </c>
      <c r="K29" s="3" t="inlineStr">
        <is>
          <t>N/A</t>
        </is>
      </c>
      <c r="L29" s="13" t="n">
        <v>39.6</v>
      </c>
    </row>
    <row r="30" ht="20" customHeight="1">
      <c r="A30" s="10" t="n">
        <v>29</v>
      </c>
      <c r="B30" s="2" t="inlineStr">
        <is>
          <t>nan</t>
        </is>
      </c>
      <c r="C30" s="2" t="inlineStr">
        <is>
          <t>Chichondi</t>
        </is>
      </c>
      <c r="D30" s="2" t="inlineStr">
        <is>
          <t>Nilanga</t>
        </is>
      </c>
      <c r="E30" s="2" t="inlineStr">
        <is>
          <t>Latur</t>
        </is>
      </c>
      <c r="F30" s="2" t="inlineStr">
        <is>
          <t>Fractured Massive Basalt &amp; Contact Btw Massive Basalt &amp; Rb</t>
        </is>
      </c>
      <c r="G30" s="5" t="n">
        <v>166.3</v>
      </c>
      <c r="H30" s="2" t="inlineStr">
        <is>
          <t>N/A</t>
        </is>
      </c>
      <c r="I30" s="5" t="n">
        <v>29</v>
      </c>
      <c r="J30" s="5" t="n">
        <v>0.14</v>
      </c>
      <c r="K30" s="2" t="inlineStr">
        <is>
          <t>N/A</t>
        </is>
      </c>
      <c r="L30" s="5" t="n">
        <v>39.8</v>
      </c>
    </row>
    <row r="31" ht="20" customHeight="1">
      <c r="A31" s="9" t="n">
        <v>30</v>
      </c>
      <c r="B31" s="3" t="inlineStr">
        <is>
          <t>nan</t>
        </is>
      </c>
      <c r="C31" s="3" t="inlineStr">
        <is>
          <t>Bori</t>
        </is>
      </c>
      <c r="D31" s="3" t="inlineStr">
        <is>
          <t>Latur</t>
        </is>
      </c>
      <c r="E31" s="3" t="inlineStr">
        <is>
          <t>Latur</t>
        </is>
      </c>
      <c r="F31" s="3" t="inlineStr">
        <is>
          <t>Esicular Basalt</t>
        </is>
      </c>
      <c r="G31" s="13" t="n">
        <v>200</v>
      </c>
      <c r="H31" s="3" t="inlineStr">
        <is>
          <t>N/A</t>
        </is>
      </c>
      <c r="I31" s="13" t="n">
        <v>82</v>
      </c>
      <c r="J31" s="13" t="n">
        <v>0.38</v>
      </c>
      <c r="K31" s="3" t="inlineStr">
        <is>
          <t>N/A</t>
        </is>
      </c>
      <c r="L31" s="13" t="n">
        <v>40.1</v>
      </c>
    </row>
    <row r="32" ht="20" customHeight="1">
      <c r="A32" s="10" t="n">
        <v>31</v>
      </c>
      <c r="B32" s="2" t="inlineStr">
        <is>
          <t>nan</t>
        </is>
      </c>
      <c r="C32" s="2" t="inlineStr">
        <is>
          <t>Koganur Ow</t>
        </is>
      </c>
      <c r="D32" s="2" t="inlineStr">
        <is>
          <t>Afzalpur</t>
        </is>
      </c>
      <c r="E32" s="2" t="inlineStr">
        <is>
          <t>Gulbarga</t>
        </is>
      </c>
      <c r="F32" s="2" t="inlineStr">
        <is>
          <t>Basalt, Shale, Limestone</t>
        </is>
      </c>
      <c r="G32" s="5" t="n">
        <v>201.6</v>
      </c>
      <c r="H32" s="2" t="inlineStr">
        <is>
          <t>N/A</t>
        </is>
      </c>
      <c r="I32" s="5" t="n">
        <v>6.7</v>
      </c>
      <c r="J32" s="5" t="n">
        <v>3.28</v>
      </c>
      <c r="K32" s="2" t="inlineStr">
        <is>
          <t>N/A</t>
        </is>
      </c>
      <c r="L32" s="5" t="n">
        <v>40.2</v>
      </c>
    </row>
    <row r="33" ht="20" customHeight="1">
      <c r="A33" s="9" t="n">
        <v>32</v>
      </c>
      <c r="B33" s="3" t="inlineStr">
        <is>
          <t>nan</t>
        </is>
      </c>
      <c r="C33" s="3" t="inlineStr">
        <is>
          <t>Koganur Ew</t>
        </is>
      </c>
      <c r="D33" s="3" t="inlineStr">
        <is>
          <t>Afzalpur</t>
        </is>
      </c>
      <c r="E33" s="3" t="inlineStr">
        <is>
          <t>Gulbarga</t>
        </is>
      </c>
      <c r="F33" s="3" t="inlineStr">
        <is>
          <t>Basalt, Shale, Limestone</t>
        </is>
      </c>
      <c r="G33" s="13" t="n">
        <v>201.6</v>
      </c>
      <c r="H33" s="3" t="inlineStr">
        <is>
          <t>N/A</t>
        </is>
      </c>
      <c r="I33" s="13" t="n">
        <v>4.94</v>
      </c>
      <c r="J33" s="13" t="n">
        <v>3.77</v>
      </c>
      <c r="K33" s="3" t="inlineStr">
        <is>
          <t>N/A</t>
        </is>
      </c>
      <c r="L33" s="13" t="n">
        <v>40.2</v>
      </c>
    </row>
    <row r="34" ht="20" customHeight="1">
      <c r="A34" s="10" t="n">
        <v>33</v>
      </c>
      <c r="B34" s="2" t="inlineStr">
        <is>
          <t>nan</t>
        </is>
      </c>
      <c r="C34" s="2" t="inlineStr">
        <is>
          <t>Nimbergi</t>
        </is>
      </c>
      <c r="D34" s="2" t="inlineStr">
        <is>
          <t>S.Solapur</t>
        </is>
      </c>
      <c r="E34" s="2" t="inlineStr">
        <is>
          <t>Solapur</t>
        </is>
      </c>
      <c r="F34" s="2" t="inlineStr">
        <is>
          <t>Fractured Vesicular Basalt, Fractured Massive Basalt</t>
        </is>
      </c>
      <c r="G34" s="5" t="n">
        <v>200</v>
      </c>
      <c r="H34" s="2" t="inlineStr">
        <is>
          <t>N/A</t>
        </is>
      </c>
      <c r="I34" s="5" t="n">
        <v>59.35</v>
      </c>
      <c r="J34" s="5" t="n">
        <v>2.16</v>
      </c>
      <c r="K34" s="2" t="inlineStr">
        <is>
          <t>N/A</t>
        </is>
      </c>
      <c r="L34" s="5" t="n">
        <v>40.7</v>
      </c>
    </row>
    <row r="35" ht="20" customHeight="1">
      <c r="A35" s="9" t="n">
        <v>34</v>
      </c>
      <c r="B35" s="3" t="inlineStr">
        <is>
          <t>nan</t>
        </is>
      </c>
      <c r="C35" s="3" t="inlineStr">
        <is>
          <t>Puluj</t>
        </is>
      </c>
      <c r="D35" s="3" t="inlineStr">
        <is>
          <t>Pandharpur</t>
        </is>
      </c>
      <c r="E35" s="3" t="inlineStr">
        <is>
          <t>Solapur</t>
        </is>
      </c>
      <c r="F35" s="3" t="inlineStr">
        <is>
          <t>Fractured Vesicular Basalt</t>
        </is>
      </c>
      <c r="G35" s="13" t="n">
        <v>200</v>
      </c>
      <c r="H35" s="3" t="inlineStr">
        <is>
          <t>N/A</t>
        </is>
      </c>
      <c r="I35" s="13" t="n">
        <v>4.6</v>
      </c>
      <c r="J35" s="13" t="n">
        <v>3.77</v>
      </c>
      <c r="K35" s="3" t="inlineStr">
        <is>
          <t>N/A</t>
        </is>
      </c>
      <c r="L35" s="13" t="n">
        <v>42.7</v>
      </c>
    </row>
    <row r="36" ht="20" customHeight="1">
      <c r="A36" s="10" t="n">
        <v>35</v>
      </c>
      <c r="B36" s="2" t="inlineStr">
        <is>
          <t>nan</t>
        </is>
      </c>
      <c r="C36" s="2" t="inlineStr">
        <is>
          <t>Ashta Mod</t>
        </is>
      </c>
      <c r="D36" s="2" t="inlineStr">
        <is>
          <t>Latur</t>
        </is>
      </c>
      <c r="E36" s="2" t="inlineStr">
        <is>
          <t>Latur</t>
        </is>
      </c>
      <c r="F36" s="2" t="inlineStr">
        <is>
          <t>Weathered Vesicular Fractured Basalt, Vesicular Basalt</t>
        </is>
      </c>
      <c r="G36" s="5" t="n">
        <v>202.9</v>
      </c>
      <c r="H36" s="2" t="inlineStr">
        <is>
          <t>N/A</t>
        </is>
      </c>
      <c r="I36" s="5" t="n">
        <v>90.2</v>
      </c>
      <c r="J36" s="5" t="n">
        <v>8.199999999999999</v>
      </c>
      <c r="K36" s="2" t="inlineStr">
        <is>
          <t>N/A</t>
        </is>
      </c>
      <c r="L36" s="5" t="n">
        <v>43.7</v>
      </c>
    </row>
    <row r="37" ht="20" customHeight="1">
      <c r="A37" s="9" t="n">
        <v>36</v>
      </c>
      <c r="B37" s="3" t="inlineStr">
        <is>
          <t>nan</t>
        </is>
      </c>
      <c r="C37" s="3" t="inlineStr">
        <is>
          <t>New Diksangi</t>
        </is>
      </c>
      <c r="D37" s="3" t="inlineStr">
        <is>
          <t>Afzalpur</t>
        </is>
      </c>
      <c r="E37" s="3" t="inlineStr">
        <is>
          <t>Gulbarga</t>
        </is>
      </c>
      <c r="F37" s="3" t="inlineStr">
        <is>
          <t>Basalt, Shale, Limestone</t>
        </is>
      </c>
      <c r="G37" s="13" t="n">
        <v>201.6</v>
      </c>
      <c r="H37" s="3" t="inlineStr">
        <is>
          <t>N/A</t>
        </is>
      </c>
      <c r="I37" s="13" t="n">
        <v>16.67</v>
      </c>
      <c r="J37" s="13" t="n">
        <v>0.014</v>
      </c>
      <c r="K37" s="13" t="n">
        <v>35</v>
      </c>
      <c r="L37" s="13" t="n">
        <v>43.7</v>
      </c>
    </row>
    <row r="38" ht="20" customHeight="1">
      <c r="A38" s="10" t="n">
        <v>37</v>
      </c>
      <c r="B38" s="2" t="inlineStr">
        <is>
          <t>nan</t>
        </is>
      </c>
      <c r="C38" s="2" t="inlineStr">
        <is>
          <t>Nandgaon</t>
        </is>
      </c>
      <c r="D38" s="2" t="inlineStr">
        <is>
          <t>Latur</t>
        </is>
      </c>
      <c r="E38" s="2" t="inlineStr">
        <is>
          <t>Latur</t>
        </is>
      </c>
      <c r="F38" s="2" t="inlineStr">
        <is>
          <t>Esicular Basalt</t>
        </is>
      </c>
      <c r="G38" s="5" t="n">
        <v>200</v>
      </c>
      <c r="H38" s="2" t="inlineStr">
        <is>
          <t>N/A</t>
        </is>
      </c>
      <c r="I38" s="5" t="n">
        <v>95</v>
      </c>
      <c r="J38" s="5" t="n">
        <v>2.16</v>
      </c>
      <c r="K38" s="2" t="inlineStr">
        <is>
          <t>N/A</t>
        </is>
      </c>
      <c r="L38" s="5" t="n">
        <v>43.9</v>
      </c>
    </row>
    <row r="39" ht="20" customHeight="1">
      <c r="A39" s="9" t="n">
        <v>38</v>
      </c>
      <c r="B39" s="3" t="inlineStr">
        <is>
          <t>nan</t>
        </is>
      </c>
      <c r="C39" s="3" t="inlineStr">
        <is>
          <t>Bhutashte</t>
        </is>
      </c>
      <c r="D39" s="3" t="inlineStr">
        <is>
          <t>Madha</t>
        </is>
      </c>
      <c r="E39" s="3" t="inlineStr">
        <is>
          <t>Solapur</t>
        </is>
      </c>
      <c r="F39" s="3" t="inlineStr">
        <is>
          <t>Fractured Massive Basalt</t>
        </is>
      </c>
      <c r="G39" s="13" t="n">
        <v>166.2</v>
      </c>
      <c r="H39" s="3" t="inlineStr">
        <is>
          <t>N/A</t>
        </is>
      </c>
      <c r="I39" s="13" t="n">
        <v>51</v>
      </c>
      <c r="J39" s="3" t="inlineStr">
        <is>
          <t>N/A</t>
        </is>
      </c>
      <c r="K39" s="3" t="inlineStr">
        <is>
          <t>N/A</t>
        </is>
      </c>
      <c r="L39" s="13" t="n">
        <v>44.3</v>
      </c>
    </row>
    <row r="40" ht="20" customHeight="1">
      <c r="A40" s="10" t="n">
        <v>39</v>
      </c>
      <c r="B40" s="2" t="inlineStr">
        <is>
          <t>nan</t>
        </is>
      </c>
      <c r="C40" s="2" t="inlineStr">
        <is>
          <t>Karajgi</t>
        </is>
      </c>
      <c r="D40" s="2" t="inlineStr">
        <is>
          <t>Afzalpur</t>
        </is>
      </c>
      <c r="E40" s="2" t="inlineStr">
        <is>
          <t>Gulbarga</t>
        </is>
      </c>
      <c r="F40" s="2" t="inlineStr">
        <is>
          <t>Basalt, Shale, Limestone</t>
        </is>
      </c>
      <c r="G40" s="5" t="n">
        <v>201.6</v>
      </c>
      <c r="H40" s="2" t="inlineStr">
        <is>
          <t>N/A</t>
        </is>
      </c>
      <c r="I40" s="5" t="n">
        <v>52.56</v>
      </c>
      <c r="J40" s="5" t="n">
        <v>0.4</v>
      </c>
      <c r="K40" s="2" t="inlineStr">
        <is>
          <t>N/A</t>
        </is>
      </c>
      <c r="L40" s="5" t="n">
        <v>44.5</v>
      </c>
    </row>
    <row r="41" ht="20" customHeight="1">
      <c r="A41" s="9" t="n">
        <v>40</v>
      </c>
      <c r="B41" s="3" t="inlineStr">
        <is>
          <t>nan</t>
        </is>
      </c>
      <c r="C41" s="3" t="inlineStr">
        <is>
          <t>Kasarkheda 2</t>
        </is>
      </c>
      <c r="D41" s="3" t="inlineStr">
        <is>
          <t>Latur</t>
        </is>
      </c>
      <c r="E41" s="3" t="inlineStr">
        <is>
          <t>Latur</t>
        </is>
      </c>
      <c r="F41" s="3" t="inlineStr">
        <is>
          <t>Esicular Basalt</t>
        </is>
      </c>
      <c r="G41" s="13" t="n">
        <v>200</v>
      </c>
      <c r="H41" s="3" t="inlineStr">
        <is>
          <t>N/A</t>
        </is>
      </c>
      <c r="I41" s="13" t="n">
        <v>36</v>
      </c>
      <c r="J41" s="13" t="n">
        <v>0.78</v>
      </c>
      <c r="K41" s="3" t="inlineStr">
        <is>
          <t>N/A</t>
        </is>
      </c>
      <c r="L41" s="13" t="n">
        <v>46.4</v>
      </c>
    </row>
    <row r="42" ht="20" customHeight="1">
      <c r="A42" s="10" t="n">
        <v>41</v>
      </c>
      <c r="B42" s="2" t="inlineStr">
        <is>
          <t>nan</t>
        </is>
      </c>
      <c r="C42" s="2" t="inlineStr">
        <is>
          <t>Kasarkheda 1</t>
        </is>
      </c>
      <c r="D42" s="2" t="inlineStr">
        <is>
          <t>Latur</t>
        </is>
      </c>
      <c r="E42" s="2" t="inlineStr">
        <is>
          <t>Latur</t>
        </is>
      </c>
      <c r="F42" s="2" t="inlineStr">
        <is>
          <t>Fractured Vesicular Basalt</t>
        </is>
      </c>
      <c r="G42" s="5" t="n">
        <v>200</v>
      </c>
      <c r="H42" s="2" t="inlineStr">
        <is>
          <t>N/A</t>
        </is>
      </c>
      <c r="I42" s="5" t="n">
        <v>35.6</v>
      </c>
      <c r="J42" s="5" t="n">
        <v>3</v>
      </c>
      <c r="K42" s="2" t="inlineStr">
        <is>
          <t>N/A</t>
        </is>
      </c>
      <c r="L42" s="5" t="n">
        <v>46.4</v>
      </c>
    </row>
    <row r="43" ht="20" customHeight="1">
      <c r="A43" s="9" t="n">
        <v>42</v>
      </c>
      <c r="B43" s="3" t="inlineStr">
        <is>
          <t>nan</t>
        </is>
      </c>
      <c r="C43" s="3" t="inlineStr">
        <is>
          <t>Tungat</t>
        </is>
      </c>
      <c r="D43" s="3" t="inlineStr">
        <is>
          <t>Pandharpur</t>
        </is>
      </c>
      <c r="E43" s="3" t="inlineStr">
        <is>
          <t>Solapur</t>
        </is>
      </c>
      <c r="F43" s="3" t="inlineStr">
        <is>
          <t>Fractured Vesicular Basalt</t>
        </is>
      </c>
      <c r="G43" s="13" t="n">
        <v>200</v>
      </c>
      <c r="H43" s="3" t="inlineStr">
        <is>
          <t>N/A</t>
        </is>
      </c>
      <c r="I43" s="13" t="n">
        <v>101</v>
      </c>
      <c r="J43" s="3" t="inlineStr">
        <is>
          <t>N/A</t>
        </is>
      </c>
      <c r="K43" s="3" t="inlineStr">
        <is>
          <t>N/A</t>
        </is>
      </c>
      <c r="L43" s="13" t="n">
        <v>46.5</v>
      </c>
    </row>
    <row r="44" ht="20" customHeight="1">
      <c r="A44" s="10" t="n">
        <v>43</v>
      </c>
      <c r="B44" s="2" t="inlineStr">
        <is>
          <t>nan</t>
        </is>
      </c>
      <c r="C44" s="2" t="inlineStr">
        <is>
          <t>Bankalaga</t>
        </is>
      </c>
      <c r="D44" s="2" t="inlineStr">
        <is>
          <t>Afzalpur</t>
        </is>
      </c>
      <c r="E44" s="2" t="inlineStr">
        <is>
          <t>Gulbarga</t>
        </is>
      </c>
      <c r="F44" s="2" t="inlineStr">
        <is>
          <t>Basalt, Shale, Limestone</t>
        </is>
      </c>
      <c r="G44" s="5" t="n">
        <v>201.6</v>
      </c>
      <c r="H44" s="2" t="inlineStr">
        <is>
          <t>N/A</t>
        </is>
      </c>
      <c r="I44" s="5" t="n">
        <v>10.35</v>
      </c>
      <c r="J44" s="5" t="n">
        <v>0.4</v>
      </c>
      <c r="K44" s="5" t="n">
        <v>38</v>
      </c>
      <c r="L44" s="5" t="n">
        <v>48.6</v>
      </c>
    </row>
    <row r="45" ht="20" customHeight="1">
      <c r="A45" s="9" t="n">
        <v>44</v>
      </c>
      <c r="B45" s="3" t="inlineStr">
        <is>
          <t>nan</t>
        </is>
      </c>
      <c r="C45" s="3" t="inlineStr">
        <is>
          <t>Mahalangra</t>
        </is>
      </c>
      <c r="D45" s="3" t="inlineStr">
        <is>
          <t>Chakur</t>
        </is>
      </c>
      <c r="E45" s="3" t="inlineStr">
        <is>
          <t>Latur</t>
        </is>
      </c>
      <c r="F45" s="3" t="inlineStr">
        <is>
          <t>Esicular Basalt</t>
        </is>
      </c>
      <c r="G45" s="13" t="n">
        <v>190.7</v>
      </c>
      <c r="H45" s="3" t="inlineStr">
        <is>
          <t>N/A</t>
        </is>
      </c>
      <c r="I45" s="13" t="n">
        <v>40.2</v>
      </c>
      <c r="J45" s="13" t="n">
        <v>8</v>
      </c>
      <c r="K45" s="3" t="inlineStr">
        <is>
          <t>N/A</t>
        </is>
      </c>
      <c r="L45" s="13" t="n">
        <v>49.2</v>
      </c>
    </row>
    <row r="46" ht="20" customHeight="1">
      <c r="A46" s="10" t="n">
        <v>45</v>
      </c>
      <c r="B46" s="2" t="inlineStr">
        <is>
          <t>nan</t>
        </is>
      </c>
      <c r="C46" s="2" t="inlineStr">
        <is>
          <t>Devengrawadi</t>
        </is>
      </c>
      <c r="D46" s="2" t="inlineStr">
        <is>
          <t>Chakur</t>
        </is>
      </c>
      <c r="E46" s="2" t="inlineStr">
        <is>
          <t>Latur</t>
        </is>
      </c>
      <c r="F46" s="2" t="inlineStr">
        <is>
          <t>Esicular Basalt</t>
        </is>
      </c>
      <c r="G46" s="5" t="n">
        <v>184.6</v>
      </c>
      <c r="H46" s="2" t="inlineStr">
        <is>
          <t>N/A</t>
        </is>
      </c>
      <c r="I46" s="5" t="n">
        <v>29</v>
      </c>
      <c r="J46" s="5" t="n">
        <v>8.4</v>
      </c>
      <c r="K46" s="2" t="inlineStr">
        <is>
          <t>N/A</t>
        </is>
      </c>
      <c r="L46" s="5" t="n">
        <v>49.7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32" customWidth="1" min="3" max="3"/>
    <col width="32" customWidth="1" min="4" max="4"/>
    <col width="42" customWidth="1" min="5" max="5"/>
    <col width="42" customWidth="1" min="6" max="6"/>
    <col width="62" customWidth="1" min="7" max="7"/>
  </cols>
  <sheetData>
    <row r="1" ht="28" customHeight="1">
      <c r="A1" s="1" t="inlineStr">
        <is>
          <t>Intervention Structure Type</t>
        </is>
      </c>
      <c r="B1" s="1" t="inlineStr">
        <is>
          <t>Hydrological Stream Order</t>
        </is>
      </c>
      <c r="C1" s="1" t="inlineStr">
        <is>
          <t>Optimum Slope Range</t>
        </is>
      </c>
      <c r="D1" s="1" t="inlineStr">
        <is>
          <t>Geomorphic Unit Setting</t>
        </is>
      </c>
      <c r="E1" s="1" t="inlineStr">
        <is>
          <t>Targeted Hydrogeology</t>
        </is>
      </c>
      <c r="F1" s="1" t="inlineStr">
        <is>
          <t>Estimated Storage / Impact</t>
        </is>
      </c>
      <c r="G1" s="1" t="inlineStr">
        <is>
          <t>Priority Siting Locations in Tuljapur</t>
        </is>
      </c>
    </row>
    <row r="2" ht="20" customHeight="1">
      <c r="A2" s="2" t="inlineStr">
        <is>
          <t>Percolation Tank (PT)</t>
        </is>
      </c>
      <c r="B2" s="2" t="inlineStr">
        <is>
          <t>3rd to 4th Order Streams</t>
        </is>
      </c>
      <c r="C2" s="2" t="inlineStr">
        <is>
          <t>1° – 3° (Very Gentle)</t>
        </is>
      </c>
      <c r="D2" s="2" t="inlineStr">
        <is>
          <t>Weathered Pediplain</t>
        </is>
      </c>
      <c r="E2" s="2" t="inlineStr">
        <is>
          <t>Weathered Vesicular Basalt (&gt;3m depth)</t>
        </is>
      </c>
      <c r="F2" s="2" t="inlineStr">
        <is>
          <t>50,000 – 150,000 m³</t>
        </is>
      </c>
      <c r="G2" s="2" t="inlineStr">
        <is>
          <t>Andur, Kati, Naldurg watershed, Fulwadi, Dindegaon</t>
        </is>
      </c>
    </row>
    <row r="3" ht="20" customHeight="1">
      <c r="A3" s="3" t="inlineStr">
        <is>
          <t>Masonry Check Dam (CD)</t>
        </is>
      </c>
      <c r="B3" s="3" t="inlineStr">
        <is>
          <t>2nd to 3rd Order Streams</t>
        </is>
      </c>
      <c r="C3" s="3" t="inlineStr">
        <is>
          <t>1° – 5° (Gentle to Plain)</t>
        </is>
      </c>
      <c r="D3" s="3" t="inlineStr">
        <is>
          <t>Secondary Valley Depressions</t>
        </is>
      </c>
      <c r="E3" s="3" t="inlineStr">
        <is>
          <t>Fractured Basalt Rock Bed</t>
        </is>
      </c>
      <c r="F3" s="3" t="inlineStr">
        <is>
          <t>10,000 – 30,000 m³</t>
        </is>
      </c>
      <c r="G3" s="3" t="inlineStr">
        <is>
          <t>Bori river secondary tributaries, Suratgaon, Tamalwadi</t>
        </is>
      </c>
    </row>
    <row r="4" ht="20" customHeight="1">
      <c r="A4" s="2" t="inlineStr">
        <is>
          <t>Subsurface Dyke (SSD)</t>
        </is>
      </c>
      <c r="B4" s="2" t="inlineStr">
        <is>
          <t>4th to 5th Order Streams</t>
        </is>
      </c>
      <c r="C4" s="2" t="inlineStr">
        <is>
          <t>&lt; 1° (Valley Floor)</t>
        </is>
      </c>
      <c r="D4" s="2" t="inlineStr">
        <is>
          <t>Alluvial Valley Fill</t>
        </is>
      </c>
      <c r="E4" s="2" t="inlineStr">
        <is>
          <t>Basalt Bedrock Bar across valley</t>
        </is>
      </c>
      <c r="F4" s="2" t="inlineStr">
        <is>
          <t>Arrests summer baseflow egress</t>
        </is>
      </c>
      <c r="G4" s="2" t="inlineStr">
        <is>
          <t>Naldurg downstream, Bori alluvial neck at Sindgaon</t>
        </is>
      </c>
    </row>
    <row r="5" ht="20" customHeight="1">
      <c r="A5" s="3" t="inlineStr">
        <is>
          <t>Continuous Contour Trench (CCT)</t>
        </is>
      </c>
      <c r="B5" s="3" t="inlineStr">
        <is>
          <t>Upper Catchment Ridges</t>
        </is>
      </c>
      <c r="C5" s="3" t="inlineStr">
        <is>
          <t>5° – 15° (Moderate to Steep)</t>
        </is>
      </c>
      <c r="D5" s="3" t="inlineStr">
        <is>
          <t>Dissected Plateau / Pediment</t>
        </is>
      </c>
      <c r="E5" s="3" t="inlineStr">
        <is>
          <t>Hard Compact Basalt Slopes</t>
        </is>
      </c>
      <c r="F5" s="3" t="inlineStr">
        <is>
          <t>Soil moisture retention &amp; recharge</t>
        </is>
      </c>
      <c r="G5" s="3" t="inlineStr">
        <is>
          <t>Apsinga ridge, Kamtha scarp, Balaghat plateau divide</t>
        </is>
      </c>
    </row>
    <row r="6" ht="20" customHeight="1">
      <c r="A6" s="2" t="inlineStr">
        <is>
          <t>Farm Ponds (FP)</t>
        </is>
      </c>
      <c r="B6" s="2" t="inlineStr">
        <is>
          <t>Overland Runoff Swales</t>
        </is>
      </c>
      <c r="C6" s="2" t="inlineStr">
        <is>
          <t>&lt; 3° (Nearly Level / Gentle)</t>
        </is>
      </c>
      <c r="D6" s="2" t="inlineStr">
        <is>
          <t>Main Plateau Tableland</t>
        </is>
      </c>
      <c r="E6" s="2" t="inlineStr">
        <is>
          <t>Deep Black Cotton Soils</t>
        </is>
      </c>
      <c r="F6" s="2" t="inlineStr">
        <is>
          <t>Life-saving protective crop irrigation</t>
        </is>
      </c>
      <c r="G6" s="2" t="inlineStr">
        <is>
          <t>Extensive cultivated plains of central &amp; southern Tuljapur</t>
        </is>
      </c>
    </row>
    <row r="7" ht="20" customHeight="1">
      <c r="A7" s="3" t="inlineStr">
        <is>
          <t>Recharge Shaft in Dry Dugwells</t>
        </is>
      </c>
      <c r="B7" s="3" t="inlineStr">
        <is>
          <t>Direct Well Recharging</t>
        </is>
      </c>
      <c r="C7" s="3" t="inlineStr">
        <is>
          <t>All Topographies</t>
        </is>
      </c>
      <c r="D7" s="3" t="inlineStr">
        <is>
          <t>Settlement and Farm Wells</t>
        </is>
      </c>
      <c r="E7" s="3" t="inlineStr">
        <is>
          <t>Vesicular Basalt Aquifer Zone</t>
        </is>
      </c>
      <c r="F7" s="3" t="inlineStr">
        <is>
          <t>Bypasses impermeable top clay</t>
        </is>
      </c>
      <c r="G7" s="3" t="inlineStr">
        <is>
          <t>All 130 Gram Panchayats with depleted dugwells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2026-10-13T07:12:50Z</dcterms:created>
  <dcterms:modified xmlns:dcterms="http://purl.org/dc/terms/" xmlns:xsi="http://www.w3.org/2001/XMLSchema-instance" xsi:type="dcterms:W3CDTF">2026-10-13T07:12:50Z</dcterms:modified>
</cp:coreProperties>
</file>